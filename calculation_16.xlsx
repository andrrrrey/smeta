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П" sheetId="1" r:id="rId1"/>
  </sheets>
  <calcPr calcId="124519" fullCalcOnLoad="1"/>
</workbook>
</file>

<file path=xl/sharedStrings.xml><?xml version="1.0" encoding="utf-8"?>
<sst xmlns="http://schemas.openxmlformats.org/spreadsheetml/2006/main" count="355" uniqueCount="233">
  <si>
    <t>КОММЕРЧЕСКОЕ ПРЕДЛОЖЕНИЕ
Вентиляция и кондиционирование воздуха</t>
  </si>
  <si>
    <t>Наименование объекта:</t>
  </si>
  <si>
    <t>№
П/П</t>
  </si>
  <si>
    <t>НАИМЕНОВАНИЕ РАБОТ И ЗАТРАТ</t>
  </si>
  <si>
    <t>ТИП, МАРКА, ОБОЗНАЧЕНИЕ</t>
  </si>
  <si>
    <t>ПРОИЗВОДИТЕЛЬ</t>
  </si>
  <si>
    <t>ЕДИНИЦА
ИЗМЕРЕНИЯ</t>
  </si>
  <si>
    <t>КОЛ-ВО</t>
  </si>
  <si>
    <t>ЦЕНА ЗА ЕДИНИЦУ</t>
  </si>
  <si>
    <t>СТОИМОСТЬ</t>
  </si>
  <si>
    <t>ОБЩАЯ
СТОИМОСТЬ,
руб.</t>
  </si>
  <si>
    <t>МАТЕРИАЛОВ</t>
  </si>
  <si>
    <t>РАБОТ</t>
  </si>
  <si>
    <t>Раздел 1</t>
  </si>
  <si>
    <t>Инспекционный лючок из оцинкованной стали для прямоугольных воздуховодовразмером 180x80 / Inspection hatch made of galvanized steel for rectangular ducts of size 180x80</t>
  </si>
  <si>
    <t>D01A-1001 RD 18 galv</t>
  </si>
  <si>
    <t>шт</t>
  </si>
  <si>
    <t>Обратный клапан для прямоугольных воздуховодов КОП 400x200 / Non-return damper for rectangular duct</t>
  </si>
  <si>
    <t>KOP 400x200</t>
  </si>
  <si>
    <t>шт. / pcs.</t>
  </si>
  <si>
    <t>Вентиляционная решетка для прямоугольных воздуховодовАДН 400x200 / Ventilation grille for rectangular ducts</t>
  </si>
  <si>
    <t>ADN 400x200</t>
  </si>
  <si>
    <t>Переход прямоугольного сечения из тонколистовой оцинкованной стали, класс герметичности B, S = 0,8 мм, 300x200(h)/250x200(h), L = 300 мм / Rectangle galvanized sheet steel transition, airtightness class B, S = 0,8 mm, 300x200(h)/250x200(h), L = 300 mm</t>
  </si>
  <si>
    <t>! ГОСТ 14918-80 / GOST 14918-80</t>
  </si>
  <si>
    <t>м. / m.</t>
  </si>
  <si>
    <t>Клапан КЛОП-2, с пределом огнесткойкости 60 мин. нормально открытый, размером 400x200, с приводом BELIMO на 220В, с клемной коробкой и возвратной пружиной / Fire damper KLOP-2, EI60 normaly opened, size 400x200, with drive BELIMO 220V, with terminal box</t>
  </si>
  <si>
    <t>КЛОП-2(60)-НО-400x200-МВ(220)-К / KLOP-2(60)-NO-400x200-МВ(220)-К</t>
  </si>
  <si>
    <t>Клапан КЛОП-2, с пределом огнесткойкости 60 мин. нормально открытый, размером 400x400, с приводом BELIMO на 220В, с клемной коробкой и возвратной пружиной / Fire damper KLOP-2, EI60 normaly opened, size 400x400, with drive BELIMO 220V, with terminal box</t>
  </si>
  <si>
    <t>КЛОП-2(60)-НО-400x400-МВ(220)-К / KLOP-2(60)-NO-400x400-МВ(220)-К</t>
  </si>
  <si>
    <t>Клапан КЛОП-2, с пределом огнесткойкости 60 мин. нормально открытый, размером 500x250, с приводом BELIMO на 220В, с клемной коробкой и возвратной пружиной / Fire damper KLOP-2, EI60 normaly opened, size 500x250, with drive BELIMO 220V, with terminal box</t>
  </si>
  <si>
    <t>КЛОП-2(60)-НО-500x250-МВ(220)-К / KLOP-2(60)-NO-500x250-МВ(220)-К</t>
  </si>
  <si>
    <t>Регулирующий воздушный клапан прямоугольного сечения 400x400 мм, с приводом ADT S / Adjusting the rectangular air valve 400x400 мм, with ADT S drive</t>
  </si>
  <si>
    <t>ABK 400x400 AD 04S / ABK 400x400 AD 04S</t>
  </si>
  <si>
    <t>Регулирующий воздушный клапан прямоугольного сечения 500x250 мм, с приводом ADT S / Adjusting the rectangular air valve 500x250 мм, with ADT S drive</t>
  </si>
  <si>
    <t>ABK 500x250 AD 04S / ABK 500x250 AD 04S</t>
  </si>
  <si>
    <t>Регулирующий воздушный клапан прямоугольного сечения 700x250 мм, с ручным приводом / Adjusting the rectangular air valve 700x250 мм, with manual drive</t>
  </si>
  <si>
    <t>ABK 700x250 / ABK 700x250</t>
  </si>
  <si>
    <t>Вентиляционная решетка для прямоугольных воздуховодовАДН 700x250 / Ventilation grille for rectangular ducts ADN 700x250</t>
  </si>
  <si>
    <t>АДН 700x250 / ADN 700x250</t>
  </si>
  <si>
    <t>Вентиляционная решетка для прямоугольных воздуховодовАДН 800x250 / Ventilation grille for rectangular ducts ADN 800x250</t>
  </si>
  <si>
    <t>АДН 800x250 / ADN 800x250</t>
  </si>
  <si>
    <t>Прошивной мат из каменной ваты с односторонним покрытием неармированной алюминиевой фольгой, EI150 (50 мм) / Stitching mat made of stone wool with one-sided coating of non-reinforced aluminum foil, EI150 (50 mm)</t>
  </si>
  <si>
    <t>ALU1 WIRED MAT105 (НГ-КМ0)</t>
  </si>
  <si>
    <t>м2 / m2</t>
  </si>
  <si>
    <t>Теплоизоляция рулонная из вспененного каучука K Flex-ST, 13 мм / Thermal insulation mat K Flex-ST, 13 mm</t>
  </si>
  <si>
    <t>ST</t>
  </si>
  <si>
    <t>Клапан КЛОП-2 с пределом огнестойкости 90 мин, нормально открытый, с размерами внутреннего сечения 700x500 мм, с электромеханическим приводом BELIMO на 220 В, с соединительной коробкой и клеммной колодкой. / Fire damper KLOP-2 with fire resistance rate 90 min, NO, size - 700x500 mm, with electromechanical drive BELIMO 220 V, с соединительной коробкой и клеmmной колодкой.</t>
  </si>
  <si>
    <t>КЛОП-2(90)-НО-700x500-MB(220)-К / KLOP-2(90)-NO-700x500-MB(220)-К</t>
  </si>
  <si>
    <t>Клапан КЛОП-2, с пределом огнесткойкости 60 мин. нормально открытый, размером 200x100, с приводом BELIMO на 220В, с клемной коробкой и возвратной пружиной / Fire damper KLOP-2, EI60 normaly opened, size 200x100, with drive BELIMO 220V, with terminal box</t>
  </si>
  <si>
    <t>КЛОП-2(60)-НО-200x100-МВ(220)-К / KLOP-2(60)-NO-200x100-МВ(220)-К</t>
  </si>
  <si>
    <t>Клапан КЛОП-2, с пределом огнесткойкости 60 мин. нормально открытый, размером 200x200, с приводом BELIMO на 220В, с клемной коробкой и возвратной пружиной / Fire damper KLOP-2, EI60 normaly opened, size 200x200, with drive BELIMO 220V, with terminal box</t>
  </si>
  <si>
    <t>КЛОП-2(60)-НО-200x200-МВ(220)-К / KLOP-2(60)-NO-200x200-МВ(220)-К</t>
  </si>
  <si>
    <t>Клапан КЛОП-2, с пределом огнесткойкости 60 мин. нормально открытый, размером 300x100, с приводом BELIMO на 220В, с клемной коробкой и возвратной пружиной / Fire damper KLOP-2, EI60 normaly opened, size 300x100, with drive BELIMO 220V, with terminal box</t>
  </si>
  <si>
    <t>КЛОП-2(60)-НО-300x100-МВ(220)-К / KLOP-2(60)-NO-300x100-МВ(220)-К</t>
  </si>
  <si>
    <t>Клапан КЛОП-2, с пределом огнесткойкости 60 мин. нормально открытый, размером 300x200, с приводом BELIMO на 220В, с клемной коробкой и возвратной пружиной / Fire damper KLOP-2, EI60 normaly opened, size 300x200, with drive BELIMO 220V, with terminal box</t>
  </si>
  <si>
    <t>КЛОП-2(60)-НО-300x200-МВ(220)-К / KLOP-2(60)-NO-300x200-МВ(220)-К</t>
  </si>
  <si>
    <t>Клапан КЛОП-2, с пределом огнесткойкости 60 мин. нормально открытый, размером 500x400, с приводом BELIMO на 220В, с клемной коробкой и возвратной пружиной / Fire damper KLOP-2, EI60 normaly opened, size 500x400, with drive BELIMO 220V, with terminal box</t>
  </si>
  <si>
    <t>КЛОП-2(60)-НО-500x400-МВ(220)-К / KLOP-2(60)-NO-500x400-МВ(220)-К</t>
  </si>
  <si>
    <t>Клапан КЛОП-2, с пределом огнесткойкости 60 мин. нормально открытый, размером 550x550, с приводом BELIMO на 220В, с клемной коробкой и возвратной пружиной / Fire damper KLOP-2, EI60 normaly opened, size 550x550, with drive BELIMO 220V, with terminal box</t>
  </si>
  <si>
    <t>КЛОП-2(60)-НО-550x550-МВ(220)-К / KLOP-2(60)-NO-550x550-МВ(220)-К</t>
  </si>
  <si>
    <t>Клапан КЛОП-2, с пределом огнесткойкости 60 мин. нормально открытый, размером 950x550, с приводом BELIMO на 220В, с клемной коробкой и возвратной пружиной / Fire damper KLOP-2, EI60 normaly opened, size 950x550, with drive BELIMO 220V, with terminal box</t>
  </si>
  <si>
    <t>КЛОП-2(60)-НО-950x550-МВ(220)-К / KLOP-2(60)-NO-950x550-МВ(220)-К</t>
  </si>
  <si>
    <t>Клапан КЛОП-2, с пределом огнесткойкости 60 мин. нормально открытый, размером 1000x500, с приводом BELIMO на 220В, с клемной коробкой и возвратной пружиной / Fire damper KLOP-2, EI60 normaly opened, size 1000x500, with drive BELIMO 220V, with terminal box</t>
  </si>
  <si>
    <t>КЛОП-2(60)-НО-1000x500-МВ(220)-К / KLOP-2(60)-NO-1000x500-МВ(220)-К</t>
  </si>
  <si>
    <t>Регулирующий воздушный клапан прямоугольного сечения 150x100 мм, с ручным приводом / Adjusting the rectangular air valve 150x100 мм, with manual drive</t>
  </si>
  <si>
    <t>ABK 150x100 / ABK 150x100</t>
  </si>
  <si>
    <t>Регулирующий воздушный клапан прямоугольного сечения 200x100 мм, с ручным приводом / Adjusting the rectangular air valve 200x100 мм, with manual drive</t>
  </si>
  <si>
    <t>ABK 200x100 / ABK 200x100</t>
  </si>
  <si>
    <t>Регулирующий воздушный клапан прямоугольного сечения 200x200 мм, с ручным приводом / Adjusting the rectangular air valve 200x200 мм, with manual drive</t>
  </si>
  <si>
    <t>ABK 200x200 / ABK 200x200</t>
  </si>
  <si>
    <t>Регулирующий воздушный клапан прямоугольного сечения 250x300 мм, с ручным приводом / Adjusting the rectangular air valve 250x300 мм, with manual drive</t>
  </si>
  <si>
    <t>ABK 250x300 / ABK 250x300</t>
  </si>
  <si>
    <t>Регулирующий воздушный клапан прямоугольного сечения 250x500 мм, с ручным приводом / Adjusting the rectangular air valve 250x500 мм, with manual drive</t>
  </si>
  <si>
    <t>ABK 250x500 / ABK 250x500</t>
  </si>
  <si>
    <t>Регулирующий воздушный клапан прямоугольного сечения 300x100 мм, с приводом ADT S / Adjusting the rectangular air valve 300x100 мм, with ADT S drive</t>
  </si>
  <si>
    <t>ABK 300x100 AD 04S / ABK 300x100 AD 04S</t>
  </si>
  <si>
    <t>Регулирующий воздушный клапан прямоугольного сечения 300x200 мм, с ручным приводом / Adjusting the rectangular air valve 300x200 мм, with manual drive</t>
  </si>
  <si>
    <t>ABK 300x200 / ABK 300x200</t>
  </si>
  <si>
    <t>Регулирующий воздушный клапан прямоугольного сечения 300x300 мм, с ручным приводом / Adjusting the rectangular air valve 300x300 мм, with manual drive</t>
  </si>
  <si>
    <t>ABK 300x300 / ABK 300x300</t>
  </si>
  <si>
    <t>Регулирующий воздушный клапан прямоугольного сечения 350x700 мм, с ручным приводом / Adjusting the rectangular air valve 350x700 мм, with manual drive</t>
  </si>
  <si>
    <t>ABK 350x700 / ABK 350x700</t>
  </si>
  <si>
    <t>Регулирующий воздушный клапан прямоугольного сечения 400x350 мм, с ручным приводом / Adjusting the rectangular air valve 400x350 мм, with manual drive</t>
  </si>
  <si>
    <t>ABK 400x350 / ABK 400x350</t>
  </si>
  <si>
    <t>Регулирующий воздушный клапан прямоугольного сечения 500x250 мм, с ручным приводом / Adjusting the rectangular air valve 500x250 мм, with manual drive</t>
  </si>
  <si>
    <t>ABK 500x250 / ABK 500x250</t>
  </si>
  <si>
    <t>Регулирующий воздушный клапан прямоугольного сечения 500x400 мм, с ручным приводом / Adjusting the rectangular air valve 500x400 мм, with manual drive</t>
  </si>
  <si>
    <t>ABK 500x400 / ABK 500x400</t>
  </si>
  <si>
    <t>Регулирующий воздушный клапан прямоугольного сечения 550x550 мм, с ручным приводом / Adjusting the rectangular air valve 550x550 мм, with manual drive</t>
  </si>
  <si>
    <t>ABK 550x550 / ABK 550x550</t>
  </si>
  <si>
    <t>Регулирующий воздушный клапан прямоугольного сечения 900x500 мм, с ручным приводом / Adjusting the rectangular air valve 900x500 мм, with manual drive</t>
  </si>
  <si>
    <t>ABK 900x500 / ABK 900x500</t>
  </si>
  <si>
    <t>Регулирующий воздушный клапан прямоугольного сечения 1000x500 мм, с ручным приводом / Adjusting the rectangular air valve 1000x500 мм, with manual drive</t>
  </si>
  <si>
    <t>ABK 1000x500 / ABK 1000x500</t>
  </si>
  <si>
    <t>Вентиляционная решетка для прямоугольных воздуховодовАДН 200x100 / Ventilation grille for rectangular ducts ADN 200x100</t>
  </si>
  <si>
    <t>АДН 200x100 / ADN 200x100</t>
  </si>
  <si>
    <t>Вентиляционная решетка для прямоугольных воздуховодовАДН 300x200 / Ventilation grille for rectangular ducts ADN 300x200</t>
  </si>
  <si>
    <t>АДН 300x200 / ADN 300x200</t>
  </si>
  <si>
    <t>Вентиляционная решетка для прямоугольных воздуховодовАДН 500x200 / Ventilation grille for rectangular ducts ADN 500x200</t>
  </si>
  <si>
    <t>АДН 500x200 / ADN 500x200</t>
  </si>
  <si>
    <t>Вентиляционная решетка для прямоугольных воздуховодовАДН 500x250 / Ventilation grille for rectangular ducts ADN 500x250</t>
  </si>
  <si>
    <t>АДН 500x250 / ADN 500x250</t>
  </si>
  <si>
    <t>Вентиляционная решетка для прямоугольных воздуховодовАДН 800x300 / Ventilation grille for rectangular ducts ADN 800x300</t>
  </si>
  <si>
    <t>АДН 800x300 / ADN 800x300</t>
  </si>
  <si>
    <t>Прямоугольный потолочный диффузор 4АПН-П 300x300 c КСД, торцевой подвод / Rectangle eiling diffuser 4APN-P 300x300 with KSD, end connection</t>
  </si>
  <si>
    <t>4АПН 300x300 + 3 КСД С / 4APN 300x300 + 3 KSD S</t>
  </si>
  <si>
    <t>Прямоугольный потолочный диффузор 4АПН-П 600x600 c КСД, торцевой подвод / Rectangle eiling diffuser 4APN-P 600x600 with KSD, end connection</t>
  </si>
  <si>
    <t>4АПН 600x600 + 3 КСД С / 4APN 600x600 + 3 KSD S</t>
  </si>
  <si>
    <t>Тройник прямоугольный ассиметричныт штанообразный с переменным сечением из тонколистовой оцинкованной стали, S = 1,2 мм, 2990x1465(h)/1200x700(h)/700x700(h), L = 1270 мм / Rectangular asymmetrical trouser-shaped tee with variable cross-section, galvanized sheet steel, S = 1,2 mm, 2990x1465(h)/1200x700(h)/700x700(h), L = 1270 mm</t>
  </si>
  <si>
    <t>Маты огнезащитные из базальтового волокна EI60 толщиной 50 мм /</t>
  </si>
  <si>
    <t>ALU1 WIRED MAT 105</t>
  </si>
  <si>
    <t>Кассета из 2-х клапанов КЛОП-2 исполнение A , с пределом огнестойкости 90 мин. нормально открытый, размером 1800x800, c электроприводом BELIMO с возвратной пружиной на 220В, с соединительный коробкой и клеммной коло / Cassette of 2 valves KLOP-2 execution A , with a fire resistance of 90 min. normally opened, size 1800x800, with BELIMO electric drive with return spring 220V with junction box and terminal block</t>
  </si>
  <si>
    <t>КЛОП-2(90)-1800х800-НО(МВ(220)-К / КЛОП-2(90)-1800х800-НО(МВ(220)-К</t>
  </si>
  <si>
    <t>Решетка из сетки с ячейкой 10х10, размером 1000x500, индивидуального изготовления / Grille made of mesh with a cell size of 10x10 size 1000x500, custom-made</t>
  </si>
  <si>
    <t>Электропривод общего применения SAZ24-10UQ / General purpose electric drive SAZ24-10UQ</t>
  </si>
  <si>
    <t>SAZ24-10UQ</t>
  </si>
  <si>
    <t>Вентилятор радиально-осевой встраиваемый для квадратного канала 560x560, общепромышленногоисполнения, с огнестойким электродвигателем мощностью 1.1 кВт, число полюсов 4, климатическое исполнение У2 / Air radial-axial for in-line installation in square duct 560x560, general industrial use, with fire-proof electrical motor 1.1 kW, number of poles 4, climate category U2</t>
  </si>
  <si>
    <t>PKRO-56х56-C-4-У2 / PKRO-56х56-C-4-У2</t>
  </si>
  <si>
    <t>Гибкая вставка общего назначения, VG 560x560, для климататического исполнения У1 / General purpose flexible insert, VG 560x560, for climate performance U1</t>
  </si>
  <si>
    <t>VG-560x560-M-y1 / VG-560x560-К1-У1</t>
  </si>
  <si>
    <t>Регулирующий воздушный клапан прямоугольного сечения 550x550 мм, с подготовкой под электропривод / Adjusting the rectangular air valve 550x550 мм, with preparation for electric drive</t>
  </si>
  <si>
    <t>ABK 550x550 ADM 04 / ABK 550x550 ADM 04</t>
  </si>
  <si>
    <t>Регулирующий воздушный клапан прямоугольного сечения 1000x500 мм, с подготовкой под электропривод / Adjusting the rectangular air valve 1000x500 мм, with preparation for electric drive</t>
  </si>
  <si>
    <t>ABK 1000x500 ADM 04 / ABK 1000x500 ADM 04</t>
  </si>
  <si>
    <t>Мат прошивной из каменной ваты с покрытием алюминиевой фольгой, толщиной 50 мм / Sewing mat made of stone wool coated with aluminum foil, 50 mm thick</t>
  </si>
  <si>
    <t>ALU1 ТЕХМАТ</t>
  </si>
  <si>
    <t>Решетка из сетки с ячейкой 10х10, размером 1000x500, индивидуального изготовления / Grille made of mesh with a cell size of 10x1C size 1000x500, custom-made</t>
  </si>
  <si>
    <t>VG-560x560-M-y1 / VG-560x560-M-y1</t>
  </si>
  <si>
    <t>VG-560x560-К1-У1 / VG-560x560-К1-У1</t>
  </si>
  <si>
    <t>VG-560x560-K1^1 / VG-560x560-K1^1</t>
  </si>
  <si>
    <t>Решетка из сетки с ячейкой 10х10, размером 500x200, индивидуального изготовления / Grille made of mesh with a cell size of 10x10, size 500x200, custom-made</t>
  </si>
  <si>
    <t>Решетка из сетки с ячейкой 10х10, размером 600x500, индивидуального изготовления / Grille made of mesh with a cell size of 10x10, size 600x500, custom-made</t>
  </si>
  <si>
    <t>Вентилятор радиально-осевой встраиваемый для квадратного канала 560x560, общепромышленного исполнения, с электродвигателем мощностью 0.55 кВт, число полюсов 4, климатическое исполнение У2 / Air radial-axial for in-line installation in square duct 560x560, general industrial use, with fire-proof electrical motor 0.55 kW, number of poles 4, climate category U2</t>
  </si>
  <si>
    <t>PKRO-56х56-A-4-У2 / PKRO-56х56-A-4-У2</t>
  </si>
  <si>
    <t>Регулирующий воздушный клапан прямоугольного сечения 500x500 мм, с подготовкой под электропривод / Adjusting the rectangular air valve 500x500 мм, with preparation for electric drive</t>
  </si>
  <si>
    <t>ABK 500x500 ADM 04 / ABK 500x500 ADM 04</t>
  </si>
  <si>
    <t>Регулирующий воздушный клапан прямоугольного сечения 600x500 мм, с подготовкой под электропривод / Adjusting the rectangular air valve 600x500 мм, with preparation for electric drive</t>
  </si>
  <si>
    <t>ABK 600x500 ADM 04 / ABK 600x500 ADM 04</t>
  </si>
  <si>
    <t>Клапан КЛОП-2, с пределом огнесткойкости 60 мин. нормально открытый, размером 450x450, с приводом BELIMO на 220В, с клемной коробкой и возвратной пружиной / Fire damper KLOP-2, EI60 normaly opened, size 450x450, with drive BELIMO 220V, with terminal box</t>
  </si>
  <si>
    <t>КЛОП-2(60)-НО-450x450-МВ(220)-К / KLOP-2(60)-NO-450x450-МВ(220)-К</t>
  </si>
  <si>
    <t>Клапан КЛОП-2, с пределом огнесткойкости 60 мин. нормально открытый, размером 500x300, с приводом BELIMO на 220В, с клемной коробкой и возвратной пружиной / Fire damper KLOP-2, EI60 normaly opened, size 500x300, with drive BELIMO 220V, with terminal box</t>
  </si>
  <si>
    <t>КЛОП-2(60)-НО-500x300-МВ(220)-К / KLOP-2(60)-NO-500x300-МВ(220)-К</t>
  </si>
  <si>
    <t>Клапан КЛОП-2, с пределом огнесткойкости 60 мин. нормально открытый, размером 600x400, с приводом BELIMO на 220В, с клемной коробкой и возвратной пружиной / Fire damper KLOP-2, EI60 normaly opened, size 600x400, with drive BELIMO 220V, with terminal box</t>
  </si>
  <si>
    <t>КЛОП-2(60)-НО-600x400-МВ(220)-К / KLOP-2(60)-NO-600x400-МВ(220)-К</t>
  </si>
  <si>
    <t>Клапан КЛОП-2, с пределом огнесткойкости 60 мин. нормально открытый, размером 700x400, с приводом BELIMO на 220В, с клемной коробкой и возвратной пружиной / Fire damper KLOP-2, EI60 normaly opened, size 700x400, with drive BELIMO 220V, with terminal box</t>
  </si>
  <si>
    <t>КЛОП-2(60)-НО-700x400-МВ(220)-К / KLOP-2(60)-NO-700x400-МВ(220)-К</t>
  </si>
  <si>
    <t>Регулирующий воздушный клапан прямоугольного сечения 450x450 мм, с приводом ADT S / Adjusting the rectangular air valve 450x450 мм, with ADT S drive</t>
  </si>
  <si>
    <t>ABK 450x450 AD 04S / ABK 450x450 AD 04S</t>
  </si>
  <si>
    <t>Регулирующий воздушный клапан прямоугольного сечения 500x200 мм, с ручным приводом / Adjusting the rectangular air valve 500x200 мм, with manual drive</t>
  </si>
  <si>
    <t>ABK 500x200 / ABK 500x200</t>
  </si>
  <si>
    <t>Регулирующий воздушный клапан прямоугольного сечения 500x300 мм, с приводом ADT S / Adjusting the rectangular air valve 500x300 мм, with ADT S drive</t>
  </si>
  <si>
    <t>ABK 500x300 AD 04S / ABK 500x300 AD 04S</t>
  </si>
  <si>
    <t>Кассета из 2-х клапанов КЛОП-2 исполнение A , с пределом огнестойкости 60 мин. нормально открытый, размером 1500x1000, c электроприводом BELIMO с возвратной пружиной на 220В, с соединительный коробкой и клеммной колодкой / Cassette of 2 valves KLOP-2 execution A , with a fire resistance of 60 min. normally opened, size 1500x1000, with BELIMO electric drive with return spring 220V, with junction box and terminal block</t>
  </si>
  <si>
    <t>КЛОП-2(60)-НО-1500x1000-МВ(220)-К /</t>
  </si>
  <si>
    <t>Клапан КЛОП-2, с пределом огнесткойкости 60 мин. нормально сокрытый, размером 150x100, с приводом BELIMO на 220В, с клемной коробкой и возвратной пружиной / Fire damper KLOP-2, EI60 normaly opened, size 150x100, with drive BELIMO 220V, with terminal box</t>
  </si>
  <si>
    <t>КЛОП-2(60)-НО-150x100-МВ(220)-К / KLOP-2(60)-NO-150x100-МВ(220)-К</t>
  </si>
  <si>
    <t>КЛОП-2(60)-Н0-200x100- МВ(220)- К / KLOP-2(60)-NO-200x100-МВ(220)-К</t>
  </si>
  <si>
    <t>КЛ0П-2(60)-Н0-200x200-МВ(220)-К / KLOP-2(60)-NO-200x200-МВ(220)-К</t>
  </si>
  <si>
    <t>КЛОП-2(60)-Н0-300x100- МВ(220)- К / KLOP-2(60)-NO-300x100-МВ(220)-К</t>
  </si>
  <si>
    <t>Клапан КЛОП-2, с пределом огнесткойкости 60 мин. нормально открытый, размером 300x250, с приводом BELIMO на 220В, с клемной коробкой и возвратной пружиной / Fire damper KLOP-2, EI60 normaly opened, size 300x250, with drive BELIMO 220V, with terminal box</t>
  </si>
  <si>
    <t>КЛОП-2(60)-НО-300x250-МВ(220)-К /
KLOP-2(60)-NO-300x250-МВ(220)-К</t>
  </si>
  <si>
    <t>Клапан КЛОП-2, с пределом огнесткойкости 60 мин. нормально открытый, размером 600x250, с приводом BELIMO на 220В, с клемной коробкой и возвратной пружиной / Fire damper KLOP-2, EI60 normaly opened, size 600x250, with drive BELIMO 220V, with terminal box</t>
  </si>
  <si>
    <t>КЛОП-2(60)-НО-600x250-МВ(220)-К /
KLOP-2(60)-NO-600x250-МВ(220)-К</t>
  </si>
  <si>
    <t>Клапан КЛОП-2, с пределом огнесткойкости 60 мин. нормально открытый, размером 600x500, с приводом BELIMO на 220В, с клемной коробкой и возвратной пружиной / Fire damper KLOP-2, EI60 normaly opened, size 600x500, with drive BELIMO 220V, with terminal box</t>
  </si>
  <si>
    <t>КЛОП-2(60)-НО-600x500-МВ(220)-К /
KLOP-2(60)-NO-600x500-МВ(220)-К</t>
  </si>
  <si>
    <t>Клапан КЛОП-2, с пределом огнесткойкости 60 мин. нормально открытый, размером 950x650, с приводом BELIMO на 220В, с клемной коробкой и возвратной пружиной / Fire damper KLOP-2, EI60 normaly opened, size 950x650, with drive BELIMO 220V, with terminal box</t>
  </si>
  <si>
    <t>КЛОП-2(60)-НО-950x650-МВ(220)-К /
KLOP-2(60)-NO-950x650-МВ(220)-К</t>
  </si>
  <si>
    <t>Клапан КЛОП-2, с пределом огнесткойкости 60 мин. нормально открытый, размером 1000x350, с приводом BELIMO на 220В, с клемной коробкой и возвратной пружиной / Fire damper KLOP-2, EI60 normaly opened, size 1000x350, with drive BELIMO 220V, with terminal box</t>
  </si>
  <si>
    <t>КЛОП-2(60)-НО-1000x350-МВ(220)-К /
KLOP-2(60)-NO-1000x350-МВ(220)-К</t>
  </si>
  <si>
    <t>Регулирующий воздушный клапан прямоугольного сечения 300x250 мм, с приводом ADT S / Adjusting the rectangular air valve 300x250 мм, with ADT S drive</t>
  </si>
  <si>
    <t>ABK 300x250 AD 04S / ABK 300x250 AD 04S</t>
  </si>
  <si>
    <t>Регулирующий воздушный клапан прямоугольного сечения 300x250 мм, с ручным приводом / Adjusting the rectangular air valve 300x250 мм, with manual drive</t>
  </si>
  <si>
    <t>ABK 300x250 / ABK 300x250</t>
  </si>
  <si>
    <t>Регулирующий воздушный клапан прямоугольного сечения 300x600 мм, с ручным приводом / Adjusting the rectangular air valve 300x600 мм, with manual drive</t>
  </si>
  <si>
    <t>ABK 300x600 / ABK 300x600</t>
  </si>
  <si>
    <t>Регулирующий воздушный клапан прямоугольного сечения 350x350 мм, с ручным приводом / Adjusting the rectangular air valve 350x350 мм, with manual drive</t>
  </si>
  <si>
    <t>ABK 350x350 / ABK 350x350</t>
  </si>
  <si>
    <t>Регулирующий воздушный клапан прямоугольного сечения 400x200 мм, с ручным приводом / Adjusting the rectangular air valve 400x200 мм, with manual drive</t>
  </si>
  <si>
    <t>ABK 400x200 / ABK 400x200</t>
  </si>
  <si>
    <t>Регулирующий воздушный клапан прямоугольного сечения 400x300 мм, с ручным приводом / Adjusting the rectangular air valve 400x300 мм, with manual drive</t>
  </si>
  <si>
    <t>ABK 400x300 / ABK 400x300</t>
  </si>
  <si>
    <t>Регулирующий воздушный клапан прямоугольного сечения 600x250 мм, с ручным приводом / Adjusting the rectangular air valve 600x250 мм, with manual drive</t>
  </si>
  <si>
    <t>ABK 600x250 / ABK 600x250</t>
  </si>
  <si>
    <t>Регулирующий воздушный клапан прямоугольного сечения 650x950 мм, с ручным приводом / Adjusting the rectangular air valve 650x950 мм, with manual drive</t>
  </si>
  <si>
    <t>ABK 650x950 / ABK 650x950</t>
  </si>
  <si>
    <t>Регулирующий воздушный клапан прямоугольного сечения 1300x700 мм, с ручным приводом / Adjusting the rectangular air valve 1300x700 мм, with manual drive</t>
  </si>
  <si>
    <t>ABK 1300x700 / ABK 1300x700</t>
  </si>
  <si>
    <t>Воздуховод из тонколистовой оцинкованной стали, класс герметичности b, s = 0,7 мм, 300x250 / Galvanized sheet metal duct, airtightness class B, S = 0,7 mm, 300x250</t>
  </si>
  <si>
    <t>1ОС1 14918-80 GOSI 14918-80</t>
  </si>
  <si>
    <t>Переход прямоугольного сечения из тонколистовой оцинкованной стали, S = 0,7 мм, 1000x400(h)/400x200(h), L = 300 мм / Rectangl galvanized sheet steel transition, S = 0,7 mm, 1000x400(h)/400x200(h), L = 300 mm</t>
  </si>
  <si>
    <t>e ГОСТ 14918-80 / GOST 14918-80</t>
  </si>
  <si>
    <t>Клапан КЛОП-2, с пределом огнесткойкости 60 мин. нормально открытый, размером 1000x600, с приводом BELIMO на 220В, с клемной коробкой и возвратной пружиной / Fire damper KLOP-2, EI60 normaly opened, size 1000x600, with drive BELIMO 220V, with terminal box</t>
  </si>
  <si>
    <t>KЛОП-2(60)-НО-1000x600-МВ(220)-K / KLOP-2(60)-NO-1000x600-МВ(220)-K</t>
  </si>
  <si>
    <t>Вентиляционная решетка для прямоугольных воздуховодовАДН 800x250 / Ventilation grille for rectangular ducts</t>
  </si>
  <si>
    <t>ADN 800x250</t>
  </si>
  <si>
    <t>КЛОП-2(60)-НО-1000x600-МВ(220)-К / KLOP-2(60)-NO-1000x600-МВ(220)-К</t>
  </si>
  <si>
    <t>Клапан КЛОП-2, с пределом огнесткойкости 60 мин. нормально открытый, размером 1000x400, с приводом BELIMO на 220В, с клемной коробкой и возвратной пружиной / Fire damper KLOP-2, EI60 normaly opened, size 1000x400, with drive BELIMO 220V, with terminal box</t>
  </si>
  <si>
    <t>КЛОП-2(60)-НО-1000x400-МВ(220)-К / KLOP-2(60)-NO-1000x400-МВ(220)-К</t>
  </si>
  <si>
    <t>Вентиляционная решетка для прямоугольных воздуховодовАДН 700x250 / Ventilation grille for rectangular ducts</t>
  </si>
  <si>
    <t>ADN 700x250</t>
  </si>
  <si>
    <t>КЛОП-2(60)-Н0-1000x400-МВ(220)-К / KLOP-2(60)-NO-1000x400-МВ(220)-К</t>
  </si>
  <si>
    <t>Вентилятор радиально-осевой встраиваемый для квадратного канала 280x280, общепромышленного исполнения, с огнестойким электродвигателем мощностью 0.06 кВт, число полюсов 4, климатическое исполнение У2 / Air radial-axial for in-line installation in square duct 280x280, general industrial use, with fire-proof electrical motor 0.06 kW, number of poles 4, climate category U2</t>
  </si>
  <si>
    <t>PKRO-28х28-A-4-У2 / PKRO-28х28-A-4-У2</t>
  </si>
  <si>
    <t>Гибкая вставка общего назначения, VG 280x280, для климататического исполнения У1 / General purpose flexible insert, VG 280x280, for climate performance U1</t>
  </si>
  <si>
    <t>VG-280x280-К1-У1 / VG-280x280-К1-У1</t>
  </si>
  <si>
    <t>Клапан КЛОП-2 с пределом огнестойкости 60 мин., нормально открытый, с диаметром внутреннего сечения 100, под ниппельное соединение, с электромеханическимприводом и возвратной пружиной BELIMO на 220В, с соединительной коробкой и клеммной колодкой / Fire damper KLOP-2 EI60, normally open, inlet diameter 100, for nippel connection, with electromechanical drive and return spring BELIMO 220V, with junction box and terminal block</t>
  </si>
  <si>
    <t>КЛОП-2(60)-НО-100(Нп)-MB(220)-К /</t>
  </si>
  <si>
    <t>Клапан КЛОП-2 с пределом огнестойкости 60 мин., нормально открытый, с диаметром внутреннего сечения 250, под ниппельное соединение, с электромеханическимприводом и возвратной пружиной BELIMO на 220В, с соединительной коробкой и клеммной колодкой / Fire damper KLOP-2 EI60, normally open, inlet diameter 250, for nippel connection, with electromechanical drive and return spring BELIMO 220V, with junction box and terminal block</t>
  </si>
  <si>
    <t>КЛОП-2(60)-НО-250(Нп)-MB(220)-К /</t>
  </si>
  <si>
    <t>Регулирующий воздушный клапан с ручным приводом D=100 мм / Round air damper, manual, D=100mm</t>
  </si>
  <si>
    <t>КВК / KVK</t>
  </si>
  <si>
    <t>Шумоглушитель CSA 250/600 / Silencer CSA 250/600</t>
  </si>
  <si>
    <t>CSA 250/600 / CSA 250/600</t>
  </si>
  <si>
    <t>Пластиковы1й диффузор для удаления воздуха, D=125 мм" / Plastic air diffuser, D=125 мм</t>
  </si>
  <si>
    <t>ДПУ-М 125 / DPU-M 125</t>
  </si>
  <si>
    <t>Расходные материалы для монтажа теплоизоляции (Клей,Самоклеящаяся лента,Очиститель, Межфланцевая лента для общепромышленных систем) / Insulation Installation Materials (Adhesive,Self-adhesive Tape,Cleaner, Interflange Tape for General Industrial Systems)</t>
  </si>
  <si>
    <t>Компл. / set</t>
  </si>
  <si>
    <t>Расходные материалы материалы для монтажа теплоизоляции ( Герметик термостойкий, Лента алюминиевая самоклеящаяся, Приварные штифты, Блокирующие шайбы, Лента бандажная 1,8 х 20, Межфланцевая лента огнестойкая)/ Heat Insulation Installation Materials( Heat Resistant Sealant, Aluminum Self-adhesive Tape, Welding Pins, Locking Washers, Band 1.8 x 20, Interflanged Tape Fire Resistant)</t>
  </si>
  <si>
    <t>Расходные материалы материалы для монтажа ( Уплотнитель-ные кольца из EPDM резины для кислотостойких систем ,Межфланцевая лента хим.стойкая для кислотостойких систем, фторопластовая самоклеящаяся (или аналог)/ Installation materials ( EPDM rubber O-rings for acid-resistant sys-tems,Interflanged chemical tape resistant to acid-resistant systems, PTFE self-adhesive (or analogue)</t>
  </si>
  <si>
    <t>Конструкции крепления/ Mounting structures</t>
  </si>
  <si>
    <t>Метизы(болты, гайки, зажимы, шайбы и т.д.)/ Hardware (bolts, nuts, clamps, washers, etc.)</t>
  </si>
  <si>
    <t>Материалы для заполнения узлов прохода/ Materials for filling the passage nodes</t>
  </si>
  <si>
    <t>Материалы для маркировки оборудования и элементов систем/ Materials for marking equipment and system elements</t>
  </si>
  <si>
    <t>Покровный материалы воздуховодов снаружи здания(участки выбросных систем)/ Cover materials of air ducts outside the building (sections of exhaust systems)</t>
  </si>
  <si>
    <t>Питометражные лючки/ Measuring hatches</t>
  </si>
  <si>
    <t>**Виброизолирующий материал предельная статическая нагрузка 0.018 Н/мм2 - 0,22 Н/мм2</t>
  </si>
  <si>
    <t>Sylomer</t>
  </si>
  <si>
    <t>Для форкамеры фильтр грубой очистки G3, металлическая сетка, с возможностью демонтажа</t>
  </si>
  <si>
    <t>3700 x 2500(h)</t>
  </si>
  <si>
    <t>Дренажные сифоны для поддонов вент.установок</t>
  </si>
  <si>
    <t>ИТОГО по разделу Раздел 1:</t>
  </si>
  <si>
    <t>ИТОГО ПО ВСЕМ РАЗДЕЛАМ:</t>
  </si>
  <si>
    <t>в т.ч. НДС 20%:</t>
  </si>
</sst>
</file>

<file path=xl/styles.xml><?xml version="1.0" encoding="utf-8"?>
<styleSheet xmlns="http://schemas.openxmlformats.org/spreadsheetml/2006/main">
  <numFmts count="1">
    <numFmt numFmtId="164" formatCode="#,##0.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4B9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164" fontId="4" fillId="6" borderId="1" xfId="0" applyNumberFormat="1" applyFont="1" applyFill="1" applyBorder="1" applyAlignment="1">
      <alignment vertical="top"/>
    </xf>
    <xf numFmtId="164" fontId="4" fillId="7" borderId="1" xfId="0" applyNumberFormat="1" applyFont="1" applyFill="1" applyBorder="1" applyAlignment="1">
      <alignment vertical="top"/>
    </xf>
    <xf numFmtId="0" fontId="5" fillId="8" borderId="1" xfId="0" applyFont="1" applyFill="1" applyBorder="1" applyAlignment="1">
      <alignment horizontal="right" vertical="center"/>
    </xf>
    <xf numFmtId="164" fontId="5" fillId="8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right" vertical="center"/>
    </xf>
    <xf numFmtId="164" fontId="6" fillId="9" borderId="1" xfId="0" applyNumberFormat="1" applyFont="1" applyFill="1" applyBorder="1" applyAlignment="1">
      <alignment vertical="center"/>
    </xf>
    <xf numFmtId="0" fontId="6" fillId="10" borderId="1" xfId="0" applyFont="1" applyFill="1" applyBorder="1" applyAlignment="1">
      <alignment horizontal="right" vertical="center"/>
    </xf>
    <xf numFmtId="164" fontId="6" fillId="1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6"/>
  <sheetViews>
    <sheetView tabSelected="1" workbookViewId="0"/>
  </sheetViews>
  <sheetFormatPr defaultRowHeight="15"/>
  <cols>
    <col min="1" max="1" width="6.7109375" customWidth="1"/>
    <col min="2" max="2" width="45.7109375" customWidth="1"/>
    <col min="3" max="3" width="20.7109375" customWidth="1"/>
    <col min="4" max="4" width="14.7109375" customWidth="1"/>
    <col min="5" max="6" width="8.7109375" customWidth="1"/>
    <col min="7" max="8" width="12.7109375" customWidth="1"/>
    <col min="9" max="10" width="14.7109375" customWidth="1"/>
    <col min="11" max="11" width="16.7109375" customWidth="1"/>
  </cols>
  <sheetData>
    <row r="1" spans="1:11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3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 t="s">
        <v>9</v>
      </c>
      <c r="J4" s="3"/>
      <c r="K4" s="3" t="s">
        <v>10</v>
      </c>
    </row>
    <row r="5" spans="1:11" ht="18" customHeight="1">
      <c r="A5" s="3"/>
      <c r="B5" s="3"/>
      <c r="C5" s="3"/>
      <c r="D5" s="3"/>
      <c r="E5" s="3"/>
      <c r="F5" s="3"/>
      <c r="G5" s="3" t="s">
        <v>11</v>
      </c>
      <c r="H5" s="3" t="s">
        <v>12</v>
      </c>
      <c r="I5" s="3" t="s">
        <v>11</v>
      </c>
      <c r="J5" s="3" t="s">
        <v>12</v>
      </c>
      <c r="K5" s="3"/>
    </row>
    <row r="6" spans="1:11" ht="16" customHeight="1">
      <c r="A6" s="4" t="s">
        <v>13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30" customHeight="1">
      <c r="A7" s="5">
        <v>1</v>
      </c>
      <c r="B7" s="6" t="s">
        <v>14</v>
      </c>
      <c r="C7" s="6" t="s">
        <v>15</v>
      </c>
      <c r="D7" s="6"/>
      <c r="E7" s="5" t="s">
        <v>16</v>
      </c>
      <c r="F7" s="5">
        <v>33</v>
      </c>
      <c r="G7" s="7">
        <v>0</v>
      </c>
      <c r="H7" s="7">
        <v>875</v>
      </c>
      <c r="I7" s="7">
        <f>F7*G7</f>
        <v>0</v>
      </c>
      <c r="J7" s="7">
        <f>F7*H7</f>
        <v>0</v>
      </c>
      <c r="K7" s="7">
        <f>I7+J7</f>
        <v>0</v>
      </c>
    </row>
    <row r="8" spans="1:11" ht="30" customHeight="1">
      <c r="A8" s="5">
        <v>2</v>
      </c>
      <c r="B8" s="6" t="s">
        <v>17</v>
      </c>
      <c r="C8" s="6" t="s">
        <v>18</v>
      </c>
      <c r="D8" s="6"/>
      <c r="E8" s="5" t="s">
        <v>19</v>
      </c>
      <c r="F8" s="5">
        <v>1</v>
      </c>
      <c r="G8" s="7">
        <v>0</v>
      </c>
      <c r="H8" s="7">
        <v>3000</v>
      </c>
      <c r="I8" s="7">
        <f>F8*G8</f>
        <v>0</v>
      </c>
      <c r="J8" s="7">
        <f>F8*H8</f>
        <v>0</v>
      </c>
      <c r="K8" s="7">
        <f>I8+J8</f>
        <v>0</v>
      </c>
    </row>
    <row r="9" spans="1:11" ht="30" customHeight="1">
      <c r="A9" s="5">
        <v>3</v>
      </c>
      <c r="B9" s="6" t="s">
        <v>20</v>
      </c>
      <c r="C9" s="6" t="s">
        <v>21</v>
      </c>
      <c r="D9" s="6"/>
      <c r="E9" s="5" t="s">
        <v>19</v>
      </c>
      <c r="F9" s="5">
        <v>1</v>
      </c>
      <c r="G9" s="7">
        <v>0</v>
      </c>
      <c r="H9" s="7">
        <v>875</v>
      </c>
      <c r="I9" s="7">
        <f>F9*G9</f>
        <v>0</v>
      </c>
      <c r="J9" s="7">
        <f>F9*H9</f>
        <v>0</v>
      </c>
      <c r="K9" s="7">
        <f>I9+J9</f>
        <v>0</v>
      </c>
    </row>
    <row r="10" spans="1:11" ht="30" customHeight="1">
      <c r="A10" s="5">
        <v>4</v>
      </c>
      <c r="B10" s="6" t="s">
        <v>22</v>
      </c>
      <c r="C10" s="6" t="s">
        <v>23</v>
      </c>
      <c r="D10" s="6"/>
      <c r="E10" s="5" t="s">
        <v>24</v>
      </c>
      <c r="F10" s="5">
        <v>1001</v>
      </c>
      <c r="G10" s="7">
        <v>0</v>
      </c>
      <c r="H10" s="7">
        <v>665</v>
      </c>
      <c r="I10" s="7">
        <f>F10*G10</f>
        <v>0</v>
      </c>
      <c r="J10" s="7">
        <f>F10*H10</f>
        <v>0</v>
      </c>
      <c r="K10" s="7">
        <f>I10+J10</f>
        <v>0</v>
      </c>
    </row>
    <row r="11" spans="1:11" ht="30" customHeight="1">
      <c r="A11" s="5">
        <v>5</v>
      </c>
      <c r="B11" s="6" t="s">
        <v>25</v>
      </c>
      <c r="C11" s="6" t="s">
        <v>26</v>
      </c>
      <c r="D11" s="6"/>
      <c r="E11" s="5" t="s">
        <v>19</v>
      </c>
      <c r="F11" s="5">
        <v>2</v>
      </c>
      <c r="G11" s="7">
        <v>0</v>
      </c>
      <c r="H11" s="7">
        <v>5400</v>
      </c>
      <c r="I11" s="7">
        <f>F11*G11</f>
        <v>0</v>
      </c>
      <c r="J11" s="7">
        <f>F11*H11</f>
        <v>0</v>
      </c>
      <c r="K11" s="7">
        <f>I11+J11</f>
        <v>0</v>
      </c>
    </row>
    <row r="12" spans="1:11" ht="30" customHeight="1">
      <c r="A12" s="5">
        <v>6</v>
      </c>
      <c r="B12" s="6" t="s">
        <v>27</v>
      </c>
      <c r="C12" s="6" t="s">
        <v>28</v>
      </c>
      <c r="D12" s="6"/>
      <c r="E12" s="5" t="s">
        <v>19</v>
      </c>
      <c r="F12" s="5">
        <v>4</v>
      </c>
      <c r="G12" s="7">
        <v>0</v>
      </c>
      <c r="H12" s="7">
        <v>5400</v>
      </c>
      <c r="I12" s="7">
        <f>F12*G12</f>
        <v>0</v>
      </c>
      <c r="J12" s="7">
        <f>F12*H12</f>
        <v>0</v>
      </c>
      <c r="K12" s="7">
        <f>I12+J12</f>
        <v>0</v>
      </c>
    </row>
    <row r="13" spans="1:11" ht="30" customHeight="1">
      <c r="A13" s="5">
        <v>7</v>
      </c>
      <c r="B13" s="6" t="s">
        <v>29</v>
      </c>
      <c r="C13" s="6" t="s">
        <v>30</v>
      </c>
      <c r="D13" s="6"/>
      <c r="E13" s="5" t="s">
        <v>19</v>
      </c>
      <c r="F13" s="5">
        <v>1</v>
      </c>
      <c r="G13" s="7">
        <v>0</v>
      </c>
      <c r="H13" s="7">
        <v>5400</v>
      </c>
      <c r="I13" s="7">
        <f>F13*G13</f>
        <v>0</v>
      </c>
      <c r="J13" s="7">
        <f>F13*H13</f>
        <v>0</v>
      </c>
      <c r="K13" s="7">
        <f>I13+J13</f>
        <v>0</v>
      </c>
    </row>
    <row r="14" spans="1:11" ht="30" customHeight="1">
      <c r="A14" s="5">
        <v>8</v>
      </c>
      <c r="B14" s="6" t="s">
        <v>31</v>
      </c>
      <c r="C14" s="6" t="s">
        <v>32</v>
      </c>
      <c r="D14" s="6"/>
      <c r="E14" s="5" t="s">
        <v>19</v>
      </c>
      <c r="F14" s="5">
        <v>1</v>
      </c>
      <c r="G14" s="7">
        <v>0</v>
      </c>
      <c r="H14" s="7">
        <v>5400</v>
      </c>
      <c r="I14" s="7">
        <f>F14*G14</f>
        <v>0</v>
      </c>
      <c r="J14" s="7">
        <f>F14*H14</f>
        <v>0</v>
      </c>
      <c r="K14" s="7">
        <f>I14+J14</f>
        <v>0</v>
      </c>
    </row>
    <row r="15" spans="1:11" ht="30" customHeight="1">
      <c r="A15" s="5">
        <v>9</v>
      </c>
      <c r="B15" s="6" t="s">
        <v>33</v>
      </c>
      <c r="C15" s="6" t="s">
        <v>34</v>
      </c>
      <c r="D15" s="6"/>
      <c r="E15" s="5" t="s">
        <v>19</v>
      </c>
      <c r="F15" s="5">
        <v>1</v>
      </c>
      <c r="G15" s="7">
        <v>0</v>
      </c>
      <c r="H15" s="7">
        <v>5400</v>
      </c>
      <c r="I15" s="7">
        <f>F15*G15</f>
        <v>0</v>
      </c>
      <c r="J15" s="7">
        <f>F15*H15</f>
        <v>0</v>
      </c>
      <c r="K15" s="7">
        <f>I15+J15</f>
        <v>0</v>
      </c>
    </row>
    <row r="16" spans="1:11" ht="30" customHeight="1">
      <c r="A16" s="5">
        <v>10</v>
      </c>
      <c r="B16" s="6" t="s">
        <v>35</v>
      </c>
      <c r="C16" s="6" t="s">
        <v>36</v>
      </c>
      <c r="D16" s="6"/>
      <c r="E16" s="5" t="s">
        <v>19</v>
      </c>
      <c r="F16" s="5">
        <v>7</v>
      </c>
      <c r="G16" s="7">
        <v>0</v>
      </c>
      <c r="H16" s="7">
        <v>1225</v>
      </c>
      <c r="I16" s="7">
        <f>F16*G16</f>
        <v>0</v>
      </c>
      <c r="J16" s="7">
        <f>F16*H16</f>
        <v>0</v>
      </c>
      <c r="K16" s="7">
        <f>I16+J16</f>
        <v>0</v>
      </c>
    </row>
    <row r="17" spans="1:11" ht="30" customHeight="1">
      <c r="A17" s="5">
        <v>11</v>
      </c>
      <c r="B17" s="6" t="s">
        <v>37</v>
      </c>
      <c r="C17" s="6" t="s">
        <v>38</v>
      </c>
      <c r="D17" s="6"/>
      <c r="E17" s="5" t="s">
        <v>19</v>
      </c>
      <c r="F17" s="5">
        <v>27</v>
      </c>
      <c r="G17" s="7">
        <v>0</v>
      </c>
      <c r="H17" s="7">
        <v>875</v>
      </c>
      <c r="I17" s="7">
        <f>F17*G17</f>
        <v>0</v>
      </c>
      <c r="J17" s="7">
        <f>F17*H17</f>
        <v>0</v>
      </c>
      <c r="K17" s="7">
        <f>I17+J17</f>
        <v>0</v>
      </c>
    </row>
    <row r="18" spans="1:11" ht="30" customHeight="1">
      <c r="A18" s="5">
        <v>12</v>
      </c>
      <c r="B18" s="6" t="s">
        <v>39</v>
      </c>
      <c r="C18" s="6" t="s">
        <v>40</v>
      </c>
      <c r="D18" s="6"/>
      <c r="E18" s="5" t="s">
        <v>19</v>
      </c>
      <c r="F18" s="5">
        <v>2</v>
      </c>
      <c r="G18" s="7">
        <v>0</v>
      </c>
      <c r="H18" s="7">
        <v>875</v>
      </c>
      <c r="I18" s="7">
        <f>F18*G18</f>
        <v>0</v>
      </c>
      <c r="J18" s="7">
        <f>F18*H18</f>
        <v>0</v>
      </c>
      <c r="K18" s="7">
        <f>I18+J18</f>
        <v>0</v>
      </c>
    </row>
    <row r="19" spans="1:11" ht="30" customHeight="1">
      <c r="A19" s="5">
        <v>13</v>
      </c>
      <c r="B19" s="6" t="s">
        <v>41</v>
      </c>
      <c r="C19" s="6" t="s">
        <v>42</v>
      </c>
      <c r="D19" s="6"/>
      <c r="E19" s="5" t="s">
        <v>43</v>
      </c>
      <c r="F19" s="5">
        <v>588</v>
      </c>
      <c r="G19" s="7">
        <v>0</v>
      </c>
      <c r="H19" s="7">
        <v>1200</v>
      </c>
      <c r="I19" s="7">
        <f>F19*G19</f>
        <v>0</v>
      </c>
      <c r="J19" s="7">
        <f>F19*H19</f>
        <v>0</v>
      </c>
      <c r="K19" s="7">
        <f>I19+J19</f>
        <v>0</v>
      </c>
    </row>
    <row r="20" spans="1:11" ht="30" customHeight="1">
      <c r="A20" s="5">
        <v>14</v>
      </c>
      <c r="B20" s="6" t="s">
        <v>44</v>
      </c>
      <c r="C20" s="6" t="s">
        <v>45</v>
      </c>
      <c r="D20" s="6"/>
      <c r="E20" s="5" t="s">
        <v>43</v>
      </c>
      <c r="F20" s="5">
        <v>581</v>
      </c>
      <c r="G20" s="7">
        <v>0</v>
      </c>
      <c r="H20" s="7">
        <v>1200</v>
      </c>
      <c r="I20" s="7">
        <f>F20*G20</f>
        <v>0</v>
      </c>
      <c r="J20" s="7">
        <f>F20*H20</f>
        <v>0</v>
      </c>
      <c r="K20" s="7">
        <f>I20+J20</f>
        <v>0</v>
      </c>
    </row>
    <row r="21" spans="1:11" ht="30" customHeight="1">
      <c r="A21" s="5">
        <v>15</v>
      </c>
      <c r="B21" s="6" t="s">
        <v>46</v>
      </c>
      <c r="C21" s="6" t="s">
        <v>47</v>
      </c>
      <c r="D21" s="6"/>
      <c r="E21" s="5" t="s">
        <v>19</v>
      </c>
      <c r="F21" s="5">
        <v>1</v>
      </c>
      <c r="G21" s="7">
        <v>0</v>
      </c>
      <c r="H21" s="7">
        <v>5400</v>
      </c>
      <c r="I21" s="7">
        <f>F21*G21</f>
        <v>0</v>
      </c>
      <c r="J21" s="7">
        <f>F21*H21</f>
        <v>0</v>
      </c>
      <c r="K21" s="7">
        <f>I21+J21</f>
        <v>0</v>
      </c>
    </row>
    <row r="22" spans="1:11" ht="30" customHeight="1">
      <c r="A22" s="5">
        <v>16</v>
      </c>
      <c r="B22" s="6" t="s">
        <v>48</v>
      </c>
      <c r="C22" s="6" t="s">
        <v>49</v>
      </c>
      <c r="D22" s="6"/>
      <c r="E22" s="5" t="s">
        <v>19</v>
      </c>
      <c r="F22" s="5">
        <v>2</v>
      </c>
      <c r="G22" s="7">
        <v>0</v>
      </c>
      <c r="H22" s="7">
        <v>5400</v>
      </c>
      <c r="I22" s="7">
        <f>F22*G22</f>
        <v>0</v>
      </c>
      <c r="J22" s="7">
        <f>F22*H22</f>
        <v>0</v>
      </c>
      <c r="K22" s="7">
        <f>I22+J22</f>
        <v>0</v>
      </c>
    </row>
    <row r="23" spans="1:11" ht="30" customHeight="1">
      <c r="A23" s="5">
        <v>17</v>
      </c>
      <c r="B23" s="6" t="s">
        <v>50</v>
      </c>
      <c r="C23" s="6" t="s">
        <v>51</v>
      </c>
      <c r="D23" s="6"/>
      <c r="E23" s="5" t="s">
        <v>19</v>
      </c>
      <c r="F23" s="5">
        <v>1</v>
      </c>
      <c r="G23" s="7">
        <v>0</v>
      </c>
      <c r="H23" s="7">
        <v>5400</v>
      </c>
      <c r="I23" s="7">
        <f>F23*G23</f>
        <v>0</v>
      </c>
      <c r="J23" s="7">
        <f>F23*H23</f>
        <v>0</v>
      </c>
      <c r="K23" s="7">
        <f>I23+J23</f>
        <v>0</v>
      </c>
    </row>
    <row r="24" spans="1:11" ht="30" customHeight="1">
      <c r="A24" s="5">
        <v>18</v>
      </c>
      <c r="B24" s="6" t="s">
        <v>52</v>
      </c>
      <c r="C24" s="6" t="s">
        <v>53</v>
      </c>
      <c r="D24" s="6"/>
      <c r="E24" s="5" t="s">
        <v>19</v>
      </c>
      <c r="F24" s="5">
        <v>2</v>
      </c>
      <c r="G24" s="7">
        <v>0</v>
      </c>
      <c r="H24" s="7">
        <v>5400</v>
      </c>
      <c r="I24" s="7">
        <f>F24*G24</f>
        <v>0</v>
      </c>
      <c r="J24" s="7">
        <f>F24*H24</f>
        <v>0</v>
      </c>
      <c r="K24" s="7">
        <f>I24+J24</f>
        <v>0</v>
      </c>
    </row>
    <row r="25" spans="1:11" ht="30" customHeight="1">
      <c r="A25" s="5">
        <v>19</v>
      </c>
      <c r="B25" s="6" t="s">
        <v>54</v>
      </c>
      <c r="C25" s="6" t="s">
        <v>55</v>
      </c>
      <c r="D25" s="6"/>
      <c r="E25" s="5" t="s">
        <v>19</v>
      </c>
      <c r="F25" s="5">
        <v>6</v>
      </c>
      <c r="G25" s="7">
        <v>0</v>
      </c>
      <c r="H25" s="7">
        <v>5400</v>
      </c>
      <c r="I25" s="7">
        <f>F25*G25</f>
        <v>0</v>
      </c>
      <c r="J25" s="7">
        <f>F25*H25</f>
        <v>0</v>
      </c>
      <c r="K25" s="7">
        <f>I25+J25</f>
        <v>0</v>
      </c>
    </row>
    <row r="26" spans="1:11" ht="30" customHeight="1">
      <c r="A26" s="5">
        <v>20</v>
      </c>
      <c r="B26" s="6" t="s">
        <v>56</v>
      </c>
      <c r="C26" s="6" t="s">
        <v>57</v>
      </c>
      <c r="D26" s="6"/>
      <c r="E26" s="5" t="s">
        <v>19</v>
      </c>
      <c r="F26" s="5">
        <v>2</v>
      </c>
      <c r="G26" s="7">
        <v>0</v>
      </c>
      <c r="H26" s="7">
        <v>5400</v>
      </c>
      <c r="I26" s="7">
        <f>F26*G26</f>
        <v>0</v>
      </c>
      <c r="J26" s="7">
        <f>F26*H26</f>
        <v>0</v>
      </c>
      <c r="K26" s="7">
        <f>I26+J26</f>
        <v>0</v>
      </c>
    </row>
    <row r="27" spans="1:11" ht="30" customHeight="1">
      <c r="A27" s="5">
        <v>21</v>
      </c>
      <c r="B27" s="6" t="s">
        <v>58</v>
      </c>
      <c r="C27" s="6" t="s">
        <v>59</v>
      </c>
      <c r="D27" s="6"/>
      <c r="E27" s="5" t="s">
        <v>19</v>
      </c>
      <c r="F27" s="5">
        <v>1</v>
      </c>
      <c r="G27" s="7">
        <v>0</v>
      </c>
      <c r="H27" s="7">
        <v>5400</v>
      </c>
      <c r="I27" s="7">
        <f>F27*G27</f>
        <v>0</v>
      </c>
      <c r="J27" s="7">
        <f>F27*H27</f>
        <v>0</v>
      </c>
      <c r="K27" s="7">
        <f>I27+J27</f>
        <v>0</v>
      </c>
    </row>
    <row r="28" spans="1:11" ht="30" customHeight="1">
      <c r="A28" s="5">
        <v>22</v>
      </c>
      <c r="B28" s="6" t="s">
        <v>60</v>
      </c>
      <c r="C28" s="6" t="s">
        <v>61</v>
      </c>
      <c r="D28" s="6"/>
      <c r="E28" s="5" t="s">
        <v>19</v>
      </c>
      <c r="F28" s="5">
        <v>1</v>
      </c>
      <c r="G28" s="7">
        <v>0</v>
      </c>
      <c r="H28" s="7">
        <v>5400</v>
      </c>
      <c r="I28" s="7">
        <f>F28*G28</f>
        <v>0</v>
      </c>
      <c r="J28" s="7">
        <f>F28*H28</f>
        <v>0</v>
      </c>
      <c r="K28" s="7">
        <f>I28+J28</f>
        <v>0</v>
      </c>
    </row>
    <row r="29" spans="1:11" ht="30" customHeight="1">
      <c r="A29" s="5">
        <v>23</v>
      </c>
      <c r="B29" s="6" t="s">
        <v>62</v>
      </c>
      <c r="C29" s="6" t="s">
        <v>63</v>
      </c>
      <c r="D29" s="6"/>
      <c r="E29" s="5" t="s">
        <v>19</v>
      </c>
      <c r="F29" s="5">
        <v>1</v>
      </c>
      <c r="G29" s="7">
        <v>0</v>
      </c>
      <c r="H29" s="7">
        <v>5400</v>
      </c>
      <c r="I29" s="7">
        <f>F29*G29</f>
        <v>0</v>
      </c>
      <c r="J29" s="7">
        <f>F29*H29</f>
        <v>0</v>
      </c>
      <c r="K29" s="7">
        <f>I29+J29</f>
        <v>0</v>
      </c>
    </row>
    <row r="30" spans="1:11" ht="30" customHeight="1">
      <c r="A30" s="5">
        <v>24</v>
      </c>
      <c r="B30" s="6" t="s">
        <v>64</v>
      </c>
      <c r="C30" s="6" t="s">
        <v>65</v>
      </c>
      <c r="D30" s="6"/>
      <c r="E30" s="5" t="s">
        <v>19</v>
      </c>
      <c r="F30" s="5">
        <v>1</v>
      </c>
      <c r="G30" s="7">
        <v>0</v>
      </c>
      <c r="H30" s="7">
        <v>1225</v>
      </c>
      <c r="I30" s="7">
        <f>F30*G30</f>
        <v>0</v>
      </c>
      <c r="J30" s="7">
        <f>F30*H30</f>
        <v>0</v>
      </c>
      <c r="K30" s="7">
        <f>I30+J30</f>
        <v>0</v>
      </c>
    </row>
    <row r="31" spans="1:11" ht="30" customHeight="1">
      <c r="A31" s="5">
        <v>25</v>
      </c>
      <c r="B31" s="6" t="s">
        <v>66</v>
      </c>
      <c r="C31" s="6" t="s">
        <v>67</v>
      </c>
      <c r="D31" s="6"/>
      <c r="E31" s="5" t="s">
        <v>19</v>
      </c>
      <c r="F31" s="5">
        <v>4</v>
      </c>
      <c r="G31" s="7">
        <v>0</v>
      </c>
      <c r="H31" s="7">
        <v>1225</v>
      </c>
      <c r="I31" s="7">
        <f>F31*G31</f>
        <v>0</v>
      </c>
      <c r="J31" s="7">
        <f>F31*H31</f>
        <v>0</v>
      </c>
      <c r="K31" s="7">
        <f>I31+J31</f>
        <v>0</v>
      </c>
    </row>
    <row r="32" spans="1:11" ht="30" customHeight="1">
      <c r="A32" s="5">
        <v>26</v>
      </c>
      <c r="B32" s="6" t="s">
        <v>68</v>
      </c>
      <c r="C32" s="6" t="s">
        <v>69</v>
      </c>
      <c r="D32" s="6"/>
      <c r="E32" s="5" t="s">
        <v>19</v>
      </c>
      <c r="F32" s="5">
        <v>8</v>
      </c>
      <c r="G32" s="7">
        <v>0</v>
      </c>
      <c r="H32" s="7">
        <v>1225</v>
      </c>
      <c r="I32" s="7">
        <f>F32*G32</f>
        <v>0</v>
      </c>
      <c r="J32" s="7">
        <f>F32*H32</f>
        <v>0</v>
      </c>
      <c r="K32" s="7">
        <f>I32+J32</f>
        <v>0</v>
      </c>
    </row>
    <row r="33" spans="1:11" ht="30" customHeight="1">
      <c r="A33" s="5">
        <v>27</v>
      </c>
      <c r="B33" s="6" t="s">
        <v>70</v>
      </c>
      <c r="C33" s="6" t="s">
        <v>71</v>
      </c>
      <c r="D33" s="6"/>
      <c r="E33" s="5" t="s">
        <v>19</v>
      </c>
      <c r="F33" s="5">
        <v>1</v>
      </c>
      <c r="G33" s="7">
        <v>0</v>
      </c>
      <c r="H33" s="7">
        <v>1225</v>
      </c>
      <c r="I33" s="7">
        <f>F33*G33</f>
        <v>0</v>
      </c>
      <c r="J33" s="7">
        <f>F33*H33</f>
        <v>0</v>
      </c>
      <c r="K33" s="7">
        <f>I33+J33</f>
        <v>0</v>
      </c>
    </row>
    <row r="34" spans="1:11" ht="30" customHeight="1">
      <c r="A34" s="5">
        <v>28</v>
      </c>
      <c r="B34" s="6" t="s">
        <v>72</v>
      </c>
      <c r="C34" s="6" t="s">
        <v>73</v>
      </c>
      <c r="D34" s="6"/>
      <c r="E34" s="5" t="s">
        <v>19</v>
      </c>
      <c r="F34" s="5">
        <v>1</v>
      </c>
      <c r="G34" s="7">
        <v>0</v>
      </c>
      <c r="H34" s="7">
        <v>1225</v>
      </c>
      <c r="I34" s="7">
        <f>F34*G34</f>
        <v>0</v>
      </c>
      <c r="J34" s="7">
        <f>F34*H34</f>
        <v>0</v>
      </c>
      <c r="K34" s="7">
        <f>I34+J34</f>
        <v>0</v>
      </c>
    </row>
    <row r="35" spans="1:11" ht="30" customHeight="1">
      <c r="A35" s="5">
        <v>29</v>
      </c>
      <c r="B35" s="6" t="s">
        <v>74</v>
      </c>
      <c r="C35" s="6" t="s">
        <v>75</v>
      </c>
      <c r="D35" s="6"/>
      <c r="E35" s="5" t="s">
        <v>19</v>
      </c>
      <c r="F35" s="5">
        <v>2</v>
      </c>
      <c r="G35" s="7">
        <v>0</v>
      </c>
      <c r="H35" s="7">
        <v>1225</v>
      </c>
      <c r="I35" s="7">
        <f>F35*G35</f>
        <v>0</v>
      </c>
      <c r="J35" s="7">
        <f>F35*H35</f>
        <v>0</v>
      </c>
      <c r="K35" s="7">
        <f>I35+J35</f>
        <v>0</v>
      </c>
    </row>
    <row r="36" spans="1:11" ht="30" customHeight="1">
      <c r="A36" s="5">
        <v>30</v>
      </c>
      <c r="B36" s="6" t="s">
        <v>76</v>
      </c>
      <c r="C36" s="6" t="s">
        <v>77</v>
      </c>
      <c r="D36" s="6"/>
      <c r="E36" s="5" t="s">
        <v>19</v>
      </c>
      <c r="F36" s="5">
        <v>9</v>
      </c>
      <c r="G36" s="7">
        <v>0</v>
      </c>
      <c r="H36" s="7">
        <v>1225</v>
      </c>
      <c r="I36" s="7">
        <f>F36*G36</f>
        <v>0</v>
      </c>
      <c r="J36" s="7">
        <f>F36*H36</f>
        <v>0</v>
      </c>
      <c r="K36" s="7">
        <f>I36+J36</f>
        <v>0</v>
      </c>
    </row>
    <row r="37" spans="1:11" ht="30" customHeight="1">
      <c r="A37" s="5">
        <v>31</v>
      </c>
      <c r="B37" s="6" t="s">
        <v>78</v>
      </c>
      <c r="C37" s="6" t="s">
        <v>79</v>
      </c>
      <c r="D37" s="6"/>
      <c r="E37" s="5" t="s">
        <v>19</v>
      </c>
      <c r="F37" s="5">
        <v>3</v>
      </c>
      <c r="G37" s="7">
        <v>0</v>
      </c>
      <c r="H37" s="7">
        <v>1225</v>
      </c>
      <c r="I37" s="7">
        <f>F37*G37</f>
        <v>0</v>
      </c>
      <c r="J37" s="7">
        <f>F37*H37</f>
        <v>0</v>
      </c>
      <c r="K37" s="7">
        <f>I37+J37</f>
        <v>0</v>
      </c>
    </row>
    <row r="38" spans="1:11" ht="30" customHeight="1">
      <c r="A38" s="5">
        <v>32</v>
      </c>
      <c r="B38" s="6" t="s">
        <v>80</v>
      </c>
      <c r="C38" s="6" t="s">
        <v>81</v>
      </c>
      <c r="D38" s="6"/>
      <c r="E38" s="5" t="s">
        <v>19</v>
      </c>
      <c r="F38" s="5">
        <v>1</v>
      </c>
      <c r="G38" s="7">
        <v>0</v>
      </c>
      <c r="H38" s="7">
        <v>1225</v>
      </c>
      <c r="I38" s="7">
        <f>F38*G38</f>
        <v>0</v>
      </c>
      <c r="J38" s="7">
        <f>F38*H38</f>
        <v>0</v>
      </c>
      <c r="K38" s="7">
        <f>I38+J38</f>
        <v>0</v>
      </c>
    </row>
    <row r="39" spans="1:11" ht="30" customHeight="1">
      <c r="A39" s="5">
        <v>33</v>
      </c>
      <c r="B39" s="6" t="s">
        <v>82</v>
      </c>
      <c r="C39" s="6" t="s">
        <v>83</v>
      </c>
      <c r="D39" s="6"/>
      <c r="E39" s="5" t="s">
        <v>19</v>
      </c>
      <c r="F39" s="5">
        <v>1</v>
      </c>
      <c r="G39" s="7">
        <v>0</v>
      </c>
      <c r="H39" s="7">
        <v>1225</v>
      </c>
      <c r="I39" s="7">
        <f>F39*G39</f>
        <v>0</v>
      </c>
      <c r="J39" s="7">
        <f>F39*H39</f>
        <v>0</v>
      </c>
      <c r="K39" s="7">
        <f>I39+J39</f>
        <v>0</v>
      </c>
    </row>
    <row r="40" spans="1:11" ht="30" customHeight="1">
      <c r="A40" s="5">
        <v>34</v>
      </c>
      <c r="B40" s="6" t="s">
        <v>84</v>
      </c>
      <c r="C40" s="6" t="s">
        <v>85</v>
      </c>
      <c r="D40" s="6"/>
      <c r="E40" s="5" t="s">
        <v>19</v>
      </c>
      <c r="F40" s="5">
        <v>17</v>
      </c>
      <c r="G40" s="7">
        <v>0</v>
      </c>
      <c r="H40" s="7">
        <v>1225</v>
      </c>
      <c r="I40" s="7">
        <f>F40*G40</f>
        <v>0</v>
      </c>
      <c r="J40" s="7">
        <f>F40*H40</f>
        <v>0</v>
      </c>
      <c r="K40" s="7">
        <f>I40+J40</f>
        <v>0</v>
      </c>
    </row>
    <row r="41" spans="1:11" ht="30" customHeight="1">
      <c r="A41" s="5">
        <v>35</v>
      </c>
      <c r="B41" s="6" t="s">
        <v>86</v>
      </c>
      <c r="C41" s="6" t="s">
        <v>87</v>
      </c>
      <c r="D41" s="6"/>
      <c r="E41" s="5" t="s">
        <v>19</v>
      </c>
      <c r="F41" s="5">
        <v>1</v>
      </c>
      <c r="G41" s="7">
        <v>0</v>
      </c>
      <c r="H41" s="7">
        <v>1225</v>
      </c>
      <c r="I41" s="7">
        <f>F41*G41</f>
        <v>0</v>
      </c>
      <c r="J41" s="7">
        <f>F41*H41</f>
        <v>0</v>
      </c>
      <c r="K41" s="7">
        <f>I41+J41</f>
        <v>0</v>
      </c>
    </row>
    <row r="42" spans="1:11" ht="30" customHeight="1">
      <c r="A42" s="5">
        <v>36</v>
      </c>
      <c r="B42" s="6" t="s">
        <v>88</v>
      </c>
      <c r="C42" s="6" t="s">
        <v>89</v>
      </c>
      <c r="D42" s="6"/>
      <c r="E42" s="5" t="s">
        <v>19</v>
      </c>
      <c r="F42" s="5">
        <v>1</v>
      </c>
      <c r="G42" s="7">
        <v>0</v>
      </c>
      <c r="H42" s="7">
        <v>1225</v>
      </c>
      <c r="I42" s="7">
        <f>F42*G42</f>
        <v>0</v>
      </c>
      <c r="J42" s="7">
        <f>F42*H42</f>
        <v>0</v>
      </c>
      <c r="K42" s="7">
        <f>I42+J42</f>
        <v>0</v>
      </c>
    </row>
    <row r="43" spans="1:11" ht="30" customHeight="1">
      <c r="A43" s="5">
        <v>37</v>
      </c>
      <c r="B43" s="6" t="s">
        <v>90</v>
      </c>
      <c r="C43" s="6" t="s">
        <v>91</v>
      </c>
      <c r="D43" s="6"/>
      <c r="E43" s="5" t="s">
        <v>19</v>
      </c>
      <c r="F43" s="5">
        <v>2</v>
      </c>
      <c r="G43" s="7">
        <v>0</v>
      </c>
      <c r="H43" s="7">
        <v>1225</v>
      </c>
      <c r="I43" s="7">
        <f>F43*G43</f>
        <v>0</v>
      </c>
      <c r="J43" s="7">
        <f>F43*H43</f>
        <v>0</v>
      </c>
      <c r="K43" s="7">
        <f>I43+J43</f>
        <v>0</v>
      </c>
    </row>
    <row r="44" spans="1:11" ht="30" customHeight="1">
      <c r="A44" s="5">
        <v>38</v>
      </c>
      <c r="B44" s="6" t="s">
        <v>92</v>
      </c>
      <c r="C44" s="6" t="s">
        <v>93</v>
      </c>
      <c r="D44" s="6"/>
      <c r="E44" s="5" t="s">
        <v>19</v>
      </c>
      <c r="F44" s="5">
        <v>1</v>
      </c>
      <c r="G44" s="7">
        <v>0</v>
      </c>
      <c r="H44" s="7">
        <v>1225</v>
      </c>
      <c r="I44" s="7">
        <f>F44*G44</f>
        <v>0</v>
      </c>
      <c r="J44" s="7">
        <f>F44*H44</f>
        <v>0</v>
      </c>
      <c r="K44" s="7">
        <f>I44+J44</f>
        <v>0</v>
      </c>
    </row>
    <row r="45" spans="1:11" ht="30" customHeight="1">
      <c r="A45" s="5">
        <v>39</v>
      </c>
      <c r="B45" s="6" t="s">
        <v>94</v>
      </c>
      <c r="C45" s="6" t="s">
        <v>95</v>
      </c>
      <c r="D45" s="6"/>
      <c r="E45" s="5" t="s">
        <v>19</v>
      </c>
      <c r="F45" s="5">
        <v>4</v>
      </c>
      <c r="G45" s="7">
        <v>0</v>
      </c>
      <c r="H45" s="7">
        <v>875</v>
      </c>
      <c r="I45" s="7">
        <f>F45*G45</f>
        <v>0</v>
      </c>
      <c r="J45" s="7">
        <f>F45*H45</f>
        <v>0</v>
      </c>
      <c r="K45" s="7">
        <f>I45+J45</f>
        <v>0</v>
      </c>
    </row>
    <row r="46" spans="1:11" ht="30" customHeight="1">
      <c r="A46" s="5">
        <v>40</v>
      </c>
      <c r="B46" s="6" t="s">
        <v>96</v>
      </c>
      <c r="C46" s="6" t="s">
        <v>97</v>
      </c>
      <c r="D46" s="6"/>
      <c r="E46" s="5" t="s">
        <v>19</v>
      </c>
      <c r="F46" s="5">
        <v>6</v>
      </c>
      <c r="G46" s="7">
        <v>0</v>
      </c>
      <c r="H46" s="7">
        <v>875</v>
      </c>
      <c r="I46" s="7">
        <f>F46*G46</f>
        <v>0</v>
      </c>
      <c r="J46" s="7">
        <f>F46*H46</f>
        <v>0</v>
      </c>
      <c r="K46" s="7">
        <f>I46+J46</f>
        <v>0</v>
      </c>
    </row>
    <row r="47" spans="1:11" ht="30" customHeight="1">
      <c r="A47" s="5">
        <v>41</v>
      </c>
      <c r="B47" s="6" t="s">
        <v>98</v>
      </c>
      <c r="C47" s="6" t="s">
        <v>99</v>
      </c>
      <c r="D47" s="6"/>
      <c r="E47" s="5" t="s">
        <v>19</v>
      </c>
      <c r="F47" s="5">
        <v>6</v>
      </c>
      <c r="G47" s="7">
        <v>0</v>
      </c>
      <c r="H47" s="7">
        <v>875</v>
      </c>
      <c r="I47" s="7">
        <f>F47*G47</f>
        <v>0</v>
      </c>
      <c r="J47" s="7">
        <f>F47*H47</f>
        <v>0</v>
      </c>
      <c r="K47" s="7">
        <f>I47+J47</f>
        <v>0</v>
      </c>
    </row>
    <row r="48" spans="1:11" ht="30" customHeight="1">
      <c r="A48" s="5">
        <v>42</v>
      </c>
      <c r="B48" s="6" t="s">
        <v>100</v>
      </c>
      <c r="C48" s="6" t="s">
        <v>101</v>
      </c>
      <c r="D48" s="6"/>
      <c r="E48" s="5" t="s">
        <v>19</v>
      </c>
      <c r="F48" s="5">
        <v>23</v>
      </c>
      <c r="G48" s="7">
        <v>0</v>
      </c>
      <c r="H48" s="7">
        <v>875</v>
      </c>
      <c r="I48" s="7">
        <f>F48*G48</f>
        <v>0</v>
      </c>
      <c r="J48" s="7">
        <f>F48*H48</f>
        <v>0</v>
      </c>
      <c r="K48" s="7">
        <f>I48+J48</f>
        <v>0</v>
      </c>
    </row>
    <row r="49" spans="1:11" ht="30" customHeight="1">
      <c r="A49" s="5">
        <v>43</v>
      </c>
      <c r="B49" s="6" t="s">
        <v>102</v>
      </c>
      <c r="C49" s="6" t="s">
        <v>103</v>
      </c>
      <c r="D49" s="6"/>
      <c r="E49" s="5" t="s">
        <v>19</v>
      </c>
      <c r="F49" s="5">
        <v>17</v>
      </c>
      <c r="G49" s="7">
        <v>0</v>
      </c>
      <c r="H49" s="7">
        <v>875</v>
      </c>
      <c r="I49" s="7">
        <f>F49*G49</f>
        <v>0</v>
      </c>
      <c r="J49" s="7">
        <f>F49*H49</f>
        <v>0</v>
      </c>
      <c r="K49" s="7">
        <f>I49+J49</f>
        <v>0</v>
      </c>
    </row>
    <row r="50" spans="1:11" ht="30" customHeight="1">
      <c r="A50" s="5">
        <v>44</v>
      </c>
      <c r="B50" s="6" t="s">
        <v>104</v>
      </c>
      <c r="C50" s="6" t="s">
        <v>105</v>
      </c>
      <c r="D50" s="6"/>
      <c r="E50" s="5" t="s">
        <v>19</v>
      </c>
      <c r="F50" s="5">
        <v>2</v>
      </c>
      <c r="G50" s="7">
        <v>0</v>
      </c>
      <c r="H50" s="7">
        <v>1580</v>
      </c>
      <c r="I50" s="7">
        <f>F50*G50</f>
        <v>0</v>
      </c>
      <c r="J50" s="7">
        <f>F50*H50</f>
        <v>0</v>
      </c>
      <c r="K50" s="7">
        <f>I50+J50</f>
        <v>0</v>
      </c>
    </row>
    <row r="51" spans="1:11" ht="30" customHeight="1">
      <c r="A51" s="5">
        <v>45</v>
      </c>
      <c r="B51" s="6" t="s">
        <v>106</v>
      </c>
      <c r="C51" s="6" t="s">
        <v>107</v>
      </c>
      <c r="D51" s="6"/>
      <c r="E51" s="5" t="s">
        <v>19</v>
      </c>
      <c r="F51" s="5">
        <v>5</v>
      </c>
      <c r="G51" s="7">
        <v>0</v>
      </c>
      <c r="H51" s="7">
        <v>1580</v>
      </c>
      <c r="I51" s="7">
        <f>F51*G51</f>
        <v>0</v>
      </c>
      <c r="J51" s="7">
        <f>F51*H51</f>
        <v>0</v>
      </c>
      <c r="K51" s="7">
        <f>I51+J51</f>
        <v>0</v>
      </c>
    </row>
    <row r="52" spans="1:11" ht="30" customHeight="1">
      <c r="A52" s="5">
        <v>46</v>
      </c>
      <c r="B52" s="6" t="s">
        <v>108</v>
      </c>
      <c r="C52" s="6"/>
      <c r="D52" s="6"/>
      <c r="E52" s="5" t="s">
        <v>16</v>
      </c>
      <c r="F52" s="5">
        <v>1</v>
      </c>
      <c r="G52" s="7">
        <v>0</v>
      </c>
      <c r="H52" s="7">
        <v>32000</v>
      </c>
      <c r="I52" s="7">
        <f>F52*G52</f>
        <v>0</v>
      </c>
      <c r="J52" s="7">
        <f>F52*H52</f>
        <v>0</v>
      </c>
      <c r="K52" s="7">
        <f>I52+J52</f>
        <v>0</v>
      </c>
    </row>
    <row r="53" spans="1:11" ht="30" customHeight="1">
      <c r="A53" s="5">
        <v>47</v>
      </c>
      <c r="B53" s="6" t="s">
        <v>109</v>
      </c>
      <c r="C53" s="6" t="s">
        <v>110</v>
      </c>
      <c r="D53" s="6"/>
      <c r="E53" s="5" t="s">
        <v>43</v>
      </c>
      <c r="F53" s="5">
        <v>8</v>
      </c>
      <c r="G53" s="7">
        <v>0</v>
      </c>
      <c r="H53" s="7">
        <v>175</v>
      </c>
      <c r="I53" s="7">
        <f>F53*G53</f>
        <v>0</v>
      </c>
      <c r="J53" s="7">
        <f>F53*H53</f>
        <v>0</v>
      </c>
      <c r="K53" s="7">
        <f>I53+J53</f>
        <v>0</v>
      </c>
    </row>
    <row r="54" spans="1:11" ht="30" customHeight="1">
      <c r="A54" s="5">
        <v>48</v>
      </c>
      <c r="B54" s="6" t="s">
        <v>111</v>
      </c>
      <c r="C54" s="6" t="s">
        <v>112</v>
      </c>
      <c r="D54" s="6"/>
      <c r="E54" s="5" t="s">
        <v>19</v>
      </c>
      <c r="F54" s="5">
        <v>1</v>
      </c>
      <c r="G54" s="7">
        <v>0</v>
      </c>
      <c r="H54" s="7">
        <v>5400</v>
      </c>
      <c r="I54" s="7">
        <f>F54*G54</f>
        <v>0</v>
      </c>
      <c r="J54" s="7">
        <f>F54*H54</f>
        <v>0</v>
      </c>
      <c r="K54" s="7">
        <f>I54+J54</f>
        <v>0</v>
      </c>
    </row>
    <row r="55" spans="1:11" ht="30" customHeight="1">
      <c r="A55" s="5">
        <v>49</v>
      </c>
      <c r="B55" s="6" t="s">
        <v>113</v>
      </c>
      <c r="C55" s="6"/>
      <c r="D55" s="6"/>
      <c r="E55" s="5" t="s">
        <v>19</v>
      </c>
      <c r="F55" s="5">
        <v>10</v>
      </c>
      <c r="G55" s="7">
        <v>0</v>
      </c>
      <c r="H55" s="7">
        <v>875</v>
      </c>
      <c r="I55" s="7">
        <f>F55*G55</f>
        <v>0</v>
      </c>
      <c r="J55" s="7">
        <f>F55*H55</f>
        <v>0</v>
      </c>
      <c r="K55" s="7">
        <f>I55+J55</f>
        <v>0</v>
      </c>
    </row>
    <row r="56" spans="1:11" ht="30" customHeight="1">
      <c r="A56" s="5">
        <v>50</v>
      </c>
      <c r="B56" s="6" t="s">
        <v>114</v>
      </c>
      <c r="C56" s="6" t="s">
        <v>115</v>
      </c>
      <c r="D56" s="6"/>
      <c r="E56" s="5" t="s">
        <v>16</v>
      </c>
      <c r="F56" s="5">
        <v>14</v>
      </c>
      <c r="G56" s="7">
        <v>0</v>
      </c>
      <c r="H56" s="7">
        <v>1200</v>
      </c>
      <c r="I56" s="7">
        <f>F56*G56</f>
        <v>0</v>
      </c>
      <c r="J56" s="7">
        <f>F56*H56</f>
        <v>0</v>
      </c>
      <c r="K56" s="7">
        <f>I56+J56</f>
        <v>0</v>
      </c>
    </row>
    <row r="57" spans="1:11" ht="30" customHeight="1">
      <c r="A57" s="5">
        <v>51</v>
      </c>
      <c r="B57" s="6" t="s">
        <v>116</v>
      </c>
      <c r="C57" s="6" t="s">
        <v>117</v>
      </c>
      <c r="D57" s="6"/>
      <c r="E57" s="5" t="s">
        <v>19</v>
      </c>
      <c r="F57" s="5">
        <v>6</v>
      </c>
      <c r="G57" s="7">
        <v>0</v>
      </c>
      <c r="H57" s="7">
        <v>7000</v>
      </c>
      <c r="I57" s="7">
        <f>F57*G57</f>
        <v>0</v>
      </c>
      <c r="J57" s="7">
        <f>F57*H57</f>
        <v>0</v>
      </c>
      <c r="K57" s="7">
        <f>I57+J57</f>
        <v>0</v>
      </c>
    </row>
    <row r="58" spans="1:11" ht="30" customHeight="1">
      <c r="A58" s="5">
        <v>52</v>
      </c>
      <c r="B58" s="6" t="s">
        <v>118</v>
      </c>
      <c r="C58" s="6" t="s">
        <v>119</v>
      </c>
      <c r="D58" s="6"/>
      <c r="E58" s="5" t="s">
        <v>19</v>
      </c>
      <c r="F58" s="5">
        <v>2</v>
      </c>
      <c r="G58" s="7">
        <v>0</v>
      </c>
      <c r="H58" s="7">
        <v>12718</v>
      </c>
      <c r="I58" s="7">
        <f>F58*G58</f>
        <v>0</v>
      </c>
      <c r="J58" s="7">
        <f>F58*H58</f>
        <v>0</v>
      </c>
      <c r="K58" s="7">
        <f>I58+J58</f>
        <v>0</v>
      </c>
    </row>
    <row r="59" spans="1:11" ht="30" customHeight="1">
      <c r="A59" s="5">
        <v>53</v>
      </c>
      <c r="B59" s="6" t="s">
        <v>120</v>
      </c>
      <c r="C59" s="6" t="s">
        <v>121</v>
      </c>
      <c r="D59" s="6"/>
      <c r="E59" s="5" t="s">
        <v>19</v>
      </c>
      <c r="F59" s="5">
        <v>6</v>
      </c>
      <c r="G59" s="7">
        <v>0</v>
      </c>
      <c r="H59" s="7">
        <v>5400</v>
      </c>
      <c r="I59" s="7">
        <f>F59*G59</f>
        <v>0</v>
      </c>
      <c r="J59" s="7">
        <f>F59*H59</f>
        <v>0</v>
      </c>
      <c r="K59" s="7">
        <f>I59+J59</f>
        <v>0</v>
      </c>
    </row>
    <row r="60" spans="1:11" ht="30" customHeight="1">
      <c r="A60" s="5">
        <v>54</v>
      </c>
      <c r="B60" s="6" t="s">
        <v>122</v>
      </c>
      <c r="C60" s="6" t="s">
        <v>123</v>
      </c>
      <c r="D60" s="6"/>
      <c r="E60" s="5" t="s">
        <v>19</v>
      </c>
      <c r="F60" s="5">
        <v>6</v>
      </c>
      <c r="G60" s="7">
        <v>0</v>
      </c>
      <c r="H60" s="7">
        <v>5400</v>
      </c>
      <c r="I60" s="7">
        <f>F60*G60</f>
        <v>0</v>
      </c>
      <c r="J60" s="7">
        <f>F60*H60</f>
        <v>0</v>
      </c>
      <c r="K60" s="7">
        <f>I60+J60</f>
        <v>0</v>
      </c>
    </row>
    <row r="61" spans="1:11" ht="30" customHeight="1">
      <c r="A61" s="5">
        <v>55</v>
      </c>
      <c r="B61" s="6" t="s">
        <v>124</v>
      </c>
      <c r="C61" s="6" t="s">
        <v>125</v>
      </c>
      <c r="D61" s="6"/>
      <c r="E61" s="5" t="s">
        <v>43</v>
      </c>
      <c r="F61" s="5">
        <v>56</v>
      </c>
      <c r="G61" s="7">
        <v>0</v>
      </c>
      <c r="H61" s="7">
        <v>1200</v>
      </c>
      <c r="I61" s="7">
        <f>F61*G61</f>
        <v>0</v>
      </c>
      <c r="J61" s="7">
        <f>F61*H61</f>
        <v>0</v>
      </c>
      <c r="K61" s="7">
        <f>I61+J61</f>
        <v>0</v>
      </c>
    </row>
    <row r="62" spans="1:11" ht="30" customHeight="1">
      <c r="A62" s="5">
        <v>56</v>
      </c>
      <c r="B62" s="6" t="s">
        <v>126</v>
      </c>
      <c r="C62" s="6"/>
      <c r="D62" s="6"/>
      <c r="E62" s="5" t="s">
        <v>19</v>
      </c>
      <c r="F62" s="5">
        <v>2</v>
      </c>
      <c r="G62" s="7">
        <v>0</v>
      </c>
      <c r="H62" s="7">
        <v>875</v>
      </c>
      <c r="I62" s="7">
        <f>F62*G62</f>
        <v>0</v>
      </c>
      <c r="J62" s="7">
        <f>F62*H62</f>
        <v>0</v>
      </c>
      <c r="K62" s="7">
        <f>I62+J62</f>
        <v>0</v>
      </c>
    </row>
    <row r="63" spans="1:11" ht="30" customHeight="1">
      <c r="A63" s="5">
        <v>57</v>
      </c>
      <c r="B63" s="6" t="s">
        <v>118</v>
      </c>
      <c r="C63" s="6" t="s">
        <v>127</v>
      </c>
      <c r="D63" s="6"/>
      <c r="E63" s="5" t="s">
        <v>19</v>
      </c>
      <c r="F63" s="5">
        <v>6</v>
      </c>
      <c r="G63" s="7">
        <v>0</v>
      </c>
      <c r="H63" s="7">
        <v>12718</v>
      </c>
      <c r="I63" s="7">
        <f>F63*G63</f>
        <v>0</v>
      </c>
      <c r="J63" s="7">
        <f>F63*H63</f>
        <v>0</v>
      </c>
      <c r="K63" s="7">
        <f>I63+J63</f>
        <v>0</v>
      </c>
    </row>
    <row r="64" spans="1:11" ht="30" customHeight="1">
      <c r="A64" s="5">
        <v>58</v>
      </c>
      <c r="B64" s="6" t="s">
        <v>118</v>
      </c>
      <c r="C64" s="6" t="s">
        <v>128</v>
      </c>
      <c r="D64" s="6"/>
      <c r="E64" s="5" t="s">
        <v>19</v>
      </c>
      <c r="F64" s="5">
        <v>2</v>
      </c>
      <c r="G64" s="7">
        <v>0</v>
      </c>
      <c r="H64" s="7">
        <v>12718</v>
      </c>
      <c r="I64" s="7">
        <f>F64*G64</f>
        <v>0</v>
      </c>
      <c r="J64" s="7">
        <f>F64*H64</f>
        <v>0</v>
      </c>
      <c r="K64" s="7">
        <f>I64+J64</f>
        <v>0</v>
      </c>
    </row>
    <row r="65" spans="1:11" ht="30" customHeight="1">
      <c r="A65" s="5">
        <v>59</v>
      </c>
      <c r="B65" s="6" t="s">
        <v>118</v>
      </c>
      <c r="C65" s="6" t="s">
        <v>129</v>
      </c>
      <c r="D65" s="6"/>
      <c r="E65" s="5" t="s">
        <v>19</v>
      </c>
      <c r="F65" s="5">
        <v>4</v>
      </c>
      <c r="G65" s="7">
        <v>0</v>
      </c>
      <c r="H65" s="7">
        <v>12718</v>
      </c>
      <c r="I65" s="7">
        <f>F65*G65</f>
        <v>0</v>
      </c>
      <c r="J65" s="7">
        <f>F65*H65</f>
        <v>0</v>
      </c>
      <c r="K65" s="7">
        <f>I65+J65</f>
        <v>0</v>
      </c>
    </row>
    <row r="66" spans="1:11" ht="30" customHeight="1">
      <c r="A66" s="5">
        <v>60</v>
      </c>
      <c r="B66" s="6" t="s">
        <v>130</v>
      </c>
      <c r="C66" s="6"/>
      <c r="D66" s="6"/>
      <c r="E66" s="5" t="s">
        <v>19</v>
      </c>
      <c r="F66" s="5">
        <v>3</v>
      </c>
      <c r="G66" s="7">
        <v>0</v>
      </c>
      <c r="H66" s="7">
        <v>875</v>
      </c>
      <c r="I66" s="7">
        <f>F66*G66</f>
        <v>0</v>
      </c>
      <c r="J66" s="7">
        <f>F66*H66</f>
        <v>0</v>
      </c>
      <c r="K66" s="7">
        <f>I66+J66</f>
        <v>0</v>
      </c>
    </row>
    <row r="67" spans="1:11" ht="30" customHeight="1">
      <c r="A67" s="5">
        <v>61</v>
      </c>
      <c r="B67" s="6" t="s">
        <v>131</v>
      </c>
      <c r="C67" s="6"/>
      <c r="D67" s="6"/>
      <c r="E67" s="5" t="s">
        <v>19</v>
      </c>
      <c r="F67" s="5">
        <v>1</v>
      </c>
      <c r="G67" s="7">
        <v>0</v>
      </c>
      <c r="H67" s="7">
        <v>875</v>
      </c>
      <c r="I67" s="7">
        <f>F67*G67</f>
        <v>0</v>
      </c>
      <c r="J67" s="7">
        <f>F67*H67</f>
        <v>0</v>
      </c>
      <c r="K67" s="7">
        <f>I67+J67</f>
        <v>0</v>
      </c>
    </row>
    <row r="68" spans="1:11" ht="30" customHeight="1">
      <c r="A68" s="5">
        <v>62</v>
      </c>
      <c r="B68" s="6" t="s">
        <v>132</v>
      </c>
      <c r="C68" s="6" t="s">
        <v>133</v>
      </c>
      <c r="D68" s="6"/>
      <c r="E68" s="5" t="s">
        <v>19</v>
      </c>
      <c r="F68" s="5">
        <v>1</v>
      </c>
      <c r="G68" s="7">
        <v>0</v>
      </c>
      <c r="H68" s="7">
        <v>7000</v>
      </c>
      <c r="I68" s="7">
        <f>F68*G68</f>
        <v>0</v>
      </c>
      <c r="J68" s="7">
        <f>F68*H68</f>
        <v>0</v>
      </c>
      <c r="K68" s="7">
        <f>I68+J68</f>
        <v>0</v>
      </c>
    </row>
    <row r="69" spans="1:11" ht="30" customHeight="1">
      <c r="A69" s="5">
        <v>63</v>
      </c>
      <c r="B69" s="6" t="s">
        <v>134</v>
      </c>
      <c r="C69" s="6" t="s">
        <v>135</v>
      </c>
      <c r="D69" s="6"/>
      <c r="E69" s="5" t="s">
        <v>19</v>
      </c>
      <c r="F69" s="5">
        <v>1</v>
      </c>
      <c r="G69" s="7">
        <v>0</v>
      </c>
      <c r="H69" s="7">
        <v>5400</v>
      </c>
      <c r="I69" s="7">
        <f>F69*G69</f>
        <v>0</v>
      </c>
      <c r="J69" s="7">
        <f>F69*H69</f>
        <v>0</v>
      </c>
      <c r="K69" s="7">
        <f>I69+J69</f>
        <v>0</v>
      </c>
    </row>
    <row r="70" spans="1:11" ht="30" customHeight="1">
      <c r="A70" s="5">
        <v>64</v>
      </c>
      <c r="B70" s="6" t="s">
        <v>136</v>
      </c>
      <c r="C70" s="6" t="s">
        <v>137</v>
      </c>
      <c r="D70" s="6"/>
      <c r="E70" s="5" t="s">
        <v>19</v>
      </c>
      <c r="F70" s="5">
        <v>1</v>
      </c>
      <c r="G70" s="7">
        <v>0</v>
      </c>
      <c r="H70" s="7">
        <v>5400</v>
      </c>
      <c r="I70" s="7">
        <f>F70*G70</f>
        <v>0</v>
      </c>
      <c r="J70" s="7">
        <f>F70*H70</f>
        <v>0</v>
      </c>
      <c r="K70" s="7">
        <f>I70+J70</f>
        <v>0</v>
      </c>
    </row>
    <row r="71" spans="1:11" ht="30" customHeight="1">
      <c r="A71" s="5">
        <v>65</v>
      </c>
      <c r="B71" s="6" t="s">
        <v>138</v>
      </c>
      <c r="C71" s="6" t="s">
        <v>139</v>
      </c>
      <c r="D71" s="6"/>
      <c r="E71" s="5" t="s">
        <v>19</v>
      </c>
      <c r="F71" s="5">
        <v>1</v>
      </c>
      <c r="G71" s="7">
        <v>0</v>
      </c>
      <c r="H71" s="7">
        <v>5400</v>
      </c>
      <c r="I71" s="7">
        <f>F71*G71</f>
        <v>0</v>
      </c>
      <c r="J71" s="7">
        <f>F71*H71</f>
        <v>0</v>
      </c>
      <c r="K71" s="7">
        <f>I71+J71</f>
        <v>0</v>
      </c>
    </row>
    <row r="72" spans="1:11" ht="30" customHeight="1">
      <c r="A72" s="5">
        <v>66</v>
      </c>
      <c r="B72" s="6" t="s">
        <v>140</v>
      </c>
      <c r="C72" s="6" t="s">
        <v>141</v>
      </c>
      <c r="D72" s="6"/>
      <c r="E72" s="5" t="s">
        <v>19</v>
      </c>
      <c r="F72" s="5">
        <v>1</v>
      </c>
      <c r="G72" s="7">
        <v>0</v>
      </c>
      <c r="H72" s="7">
        <v>5400</v>
      </c>
      <c r="I72" s="7">
        <f>F72*G72</f>
        <v>0</v>
      </c>
      <c r="J72" s="7">
        <f>F72*H72</f>
        <v>0</v>
      </c>
      <c r="K72" s="7">
        <f>I72+J72</f>
        <v>0</v>
      </c>
    </row>
    <row r="73" spans="1:11" ht="30" customHeight="1">
      <c r="A73" s="5">
        <v>67</v>
      </c>
      <c r="B73" s="6" t="s">
        <v>142</v>
      </c>
      <c r="C73" s="6" t="s">
        <v>143</v>
      </c>
      <c r="D73" s="6"/>
      <c r="E73" s="5" t="s">
        <v>19</v>
      </c>
      <c r="F73" s="5">
        <v>1</v>
      </c>
      <c r="G73" s="7">
        <v>0</v>
      </c>
      <c r="H73" s="7">
        <v>5400</v>
      </c>
      <c r="I73" s="7">
        <f>F73*G73</f>
        <v>0</v>
      </c>
      <c r="J73" s="7">
        <f>F73*H73</f>
        <v>0</v>
      </c>
      <c r="K73" s="7">
        <f>I73+J73</f>
        <v>0</v>
      </c>
    </row>
    <row r="74" spans="1:11" ht="30" customHeight="1">
      <c r="A74" s="5">
        <v>68</v>
      </c>
      <c r="B74" s="6" t="s">
        <v>144</v>
      </c>
      <c r="C74" s="6" t="s">
        <v>145</v>
      </c>
      <c r="D74" s="6"/>
      <c r="E74" s="5" t="s">
        <v>19</v>
      </c>
      <c r="F74" s="5">
        <v>1</v>
      </c>
      <c r="G74" s="7">
        <v>0</v>
      </c>
      <c r="H74" s="7">
        <v>5400</v>
      </c>
      <c r="I74" s="7">
        <f>F74*G74</f>
        <v>0</v>
      </c>
      <c r="J74" s="7">
        <f>F74*H74</f>
        <v>0</v>
      </c>
      <c r="K74" s="7">
        <f>I74+J74</f>
        <v>0</v>
      </c>
    </row>
    <row r="75" spans="1:11" ht="30" customHeight="1">
      <c r="A75" s="5">
        <v>69</v>
      </c>
      <c r="B75" s="6" t="s">
        <v>146</v>
      </c>
      <c r="C75" s="6" t="s">
        <v>147</v>
      </c>
      <c r="D75" s="6"/>
      <c r="E75" s="5" t="s">
        <v>19</v>
      </c>
      <c r="F75" s="5">
        <v>1</v>
      </c>
      <c r="G75" s="7">
        <v>0</v>
      </c>
      <c r="H75" s="7">
        <v>5400</v>
      </c>
      <c r="I75" s="7">
        <f>F75*G75</f>
        <v>0</v>
      </c>
      <c r="J75" s="7">
        <f>F75*H75</f>
        <v>0</v>
      </c>
      <c r="K75" s="7">
        <f>I75+J75</f>
        <v>0</v>
      </c>
    </row>
    <row r="76" spans="1:11" ht="30" customHeight="1">
      <c r="A76" s="5">
        <v>70</v>
      </c>
      <c r="B76" s="6" t="s">
        <v>148</v>
      </c>
      <c r="C76" s="6" t="s">
        <v>149</v>
      </c>
      <c r="D76" s="6"/>
      <c r="E76" s="5" t="s">
        <v>19</v>
      </c>
      <c r="F76" s="5">
        <v>2</v>
      </c>
      <c r="G76" s="7">
        <v>0</v>
      </c>
      <c r="H76" s="7">
        <v>5400</v>
      </c>
      <c r="I76" s="7">
        <f>F76*G76</f>
        <v>0</v>
      </c>
      <c r="J76" s="7">
        <f>F76*H76</f>
        <v>0</v>
      </c>
      <c r="K76" s="7">
        <f>I76+J76</f>
        <v>0</v>
      </c>
    </row>
    <row r="77" spans="1:11" ht="30" customHeight="1">
      <c r="A77" s="5">
        <v>71</v>
      </c>
      <c r="B77" s="6" t="s">
        <v>150</v>
      </c>
      <c r="C77" s="6" t="s">
        <v>151</v>
      </c>
      <c r="D77" s="6"/>
      <c r="E77" s="5" t="s">
        <v>19</v>
      </c>
      <c r="F77" s="5">
        <v>1</v>
      </c>
      <c r="G77" s="7">
        <v>0</v>
      </c>
      <c r="H77" s="7">
        <v>5400</v>
      </c>
      <c r="I77" s="7">
        <f>F77*G77</f>
        <v>0</v>
      </c>
      <c r="J77" s="7">
        <f>F77*H77</f>
        <v>0</v>
      </c>
      <c r="K77" s="7">
        <f>I77+J77</f>
        <v>0</v>
      </c>
    </row>
    <row r="78" spans="1:11" ht="30" customHeight="1">
      <c r="A78" s="5">
        <v>72</v>
      </c>
      <c r="B78" s="6" t="s">
        <v>152</v>
      </c>
      <c r="C78" s="6" t="s">
        <v>153</v>
      </c>
      <c r="D78" s="6"/>
      <c r="E78" s="5" t="s">
        <v>19</v>
      </c>
      <c r="F78" s="5">
        <v>1</v>
      </c>
      <c r="G78" s="7">
        <v>0</v>
      </c>
      <c r="H78" s="7">
        <v>5400</v>
      </c>
      <c r="I78" s="7">
        <f>F78*G78</f>
        <v>0</v>
      </c>
      <c r="J78" s="7">
        <f>F78*H78</f>
        <v>0</v>
      </c>
      <c r="K78" s="7">
        <f>I78+J78</f>
        <v>0</v>
      </c>
    </row>
    <row r="79" spans="1:11" ht="30" customHeight="1">
      <c r="A79" s="5">
        <v>73</v>
      </c>
      <c r="B79" s="6" t="s">
        <v>154</v>
      </c>
      <c r="C79" s="6" t="s">
        <v>155</v>
      </c>
      <c r="D79" s="6"/>
      <c r="E79" s="5" t="s">
        <v>19</v>
      </c>
      <c r="F79" s="5">
        <v>1</v>
      </c>
      <c r="G79" s="7">
        <v>0</v>
      </c>
      <c r="H79" s="7">
        <v>5400</v>
      </c>
      <c r="I79" s="7">
        <f>F79*G79</f>
        <v>0</v>
      </c>
      <c r="J79" s="7">
        <f>F79*H79</f>
        <v>0</v>
      </c>
      <c r="K79" s="7">
        <f>I79+J79</f>
        <v>0</v>
      </c>
    </row>
    <row r="80" spans="1:11" ht="30" customHeight="1">
      <c r="A80" s="5">
        <v>74</v>
      </c>
      <c r="B80" s="6" t="s">
        <v>48</v>
      </c>
      <c r="C80" s="6" t="s">
        <v>156</v>
      </c>
      <c r="D80" s="6"/>
      <c r="E80" s="5" t="s">
        <v>19</v>
      </c>
      <c r="F80" s="5">
        <v>2</v>
      </c>
      <c r="G80" s="7">
        <v>0</v>
      </c>
      <c r="H80" s="7">
        <v>5400</v>
      </c>
      <c r="I80" s="7">
        <f>F80*G80</f>
        <v>0</v>
      </c>
      <c r="J80" s="7">
        <f>F80*H80</f>
        <v>0</v>
      </c>
      <c r="K80" s="7">
        <f>I80+J80</f>
        <v>0</v>
      </c>
    </row>
    <row r="81" spans="1:11" ht="30" customHeight="1">
      <c r="A81" s="5">
        <v>75</v>
      </c>
      <c r="B81" s="6" t="s">
        <v>50</v>
      </c>
      <c r="C81" s="6" t="s">
        <v>157</v>
      </c>
      <c r="D81" s="6"/>
      <c r="E81" s="5" t="s">
        <v>19</v>
      </c>
      <c r="F81" s="5">
        <v>3</v>
      </c>
      <c r="G81" s="7">
        <v>0</v>
      </c>
      <c r="H81" s="7">
        <v>5400</v>
      </c>
      <c r="I81" s="7">
        <f>F81*G81</f>
        <v>0</v>
      </c>
      <c r="J81" s="7">
        <f>F81*H81</f>
        <v>0</v>
      </c>
      <c r="K81" s="7">
        <f>I81+J81</f>
        <v>0</v>
      </c>
    </row>
    <row r="82" spans="1:11" ht="30" customHeight="1">
      <c r="A82" s="5">
        <v>76</v>
      </c>
      <c r="B82" s="6" t="s">
        <v>52</v>
      </c>
      <c r="C82" s="6" t="s">
        <v>158</v>
      </c>
      <c r="D82" s="6"/>
      <c r="E82" s="5" t="s">
        <v>19</v>
      </c>
      <c r="F82" s="5">
        <v>2</v>
      </c>
      <c r="G82" s="7">
        <v>0</v>
      </c>
      <c r="H82" s="7">
        <v>5400</v>
      </c>
      <c r="I82" s="7">
        <f>F82*G82</f>
        <v>0</v>
      </c>
      <c r="J82" s="7">
        <f>F82*H82</f>
        <v>0</v>
      </c>
      <c r="K82" s="7">
        <f>I82+J82</f>
        <v>0</v>
      </c>
    </row>
    <row r="83" spans="1:11" ht="30" customHeight="1">
      <c r="A83" s="5">
        <v>77</v>
      </c>
      <c r="B83" s="6" t="s">
        <v>159</v>
      </c>
      <c r="C83" s="6" t="s">
        <v>160</v>
      </c>
      <c r="D83" s="6"/>
      <c r="E83" s="5" t="s">
        <v>19</v>
      </c>
      <c r="F83" s="5">
        <v>1</v>
      </c>
      <c r="G83" s="7">
        <v>0</v>
      </c>
      <c r="H83" s="7">
        <v>5400</v>
      </c>
      <c r="I83" s="7">
        <f>F83*G83</f>
        <v>0</v>
      </c>
      <c r="J83" s="7">
        <f>F83*H83</f>
        <v>0</v>
      </c>
      <c r="K83" s="7">
        <f>I83+J83</f>
        <v>0</v>
      </c>
    </row>
    <row r="84" spans="1:11" ht="30" customHeight="1">
      <c r="A84" s="5">
        <v>78</v>
      </c>
      <c r="B84" s="6" t="s">
        <v>161</v>
      </c>
      <c r="C84" s="6" t="s">
        <v>162</v>
      </c>
      <c r="D84" s="6"/>
      <c r="E84" s="5" t="s">
        <v>19</v>
      </c>
      <c r="F84" s="5">
        <v>1</v>
      </c>
      <c r="G84" s="7">
        <v>0</v>
      </c>
      <c r="H84" s="7">
        <v>5400</v>
      </c>
      <c r="I84" s="7">
        <f>F84*G84</f>
        <v>0</v>
      </c>
      <c r="J84" s="7">
        <f>F84*H84</f>
        <v>0</v>
      </c>
      <c r="K84" s="7">
        <f>I84+J84</f>
        <v>0</v>
      </c>
    </row>
    <row r="85" spans="1:11" ht="30" customHeight="1">
      <c r="A85" s="5">
        <v>79</v>
      </c>
      <c r="B85" s="6" t="s">
        <v>163</v>
      </c>
      <c r="C85" s="6" t="s">
        <v>164</v>
      </c>
      <c r="D85" s="6"/>
      <c r="E85" s="5" t="s">
        <v>19</v>
      </c>
      <c r="F85" s="5">
        <v>1</v>
      </c>
      <c r="G85" s="7">
        <v>0</v>
      </c>
      <c r="H85" s="7">
        <v>5400</v>
      </c>
      <c r="I85" s="7">
        <f>F85*G85</f>
        <v>0</v>
      </c>
      <c r="J85" s="7">
        <f>F85*H85</f>
        <v>0</v>
      </c>
      <c r="K85" s="7">
        <f>I85+J85</f>
        <v>0</v>
      </c>
    </row>
    <row r="86" spans="1:11" ht="30" customHeight="1">
      <c r="A86" s="5">
        <v>80</v>
      </c>
      <c r="B86" s="6" t="s">
        <v>165</v>
      </c>
      <c r="C86" s="6" t="s">
        <v>166</v>
      </c>
      <c r="D86" s="6"/>
      <c r="E86" s="5" t="s">
        <v>19</v>
      </c>
      <c r="F86" s="5">
        <v>1</v>
      </c>
      <c r="G86" s="7">
        <v>0</v>
      </c>
      <c r="H86" s="7">
        <v>5400</v>
      </c>
      <c r="I86" s="7">
        <f>F86*G86</f>
        <v>0</v>
      </c>
      <c r="J86" s="7">
        <f>F86*H86</f>
        <v>0</v>
      </c>
      <c r="K86" s="7">
        <f>I86+J86</f>
        <v>0</v>
      </c>
    </row>
    <row r="87" spans="1:11" ht="30" customHeight="1">
      <c r="A87" s="5">
        <v>81</v>
      </c>
      <c r="B87" s="6" t="s">
        <v>167</v>
      </c>
      <c r="C87" s="6" t="s">
        <v>168</v>
      </c>
      <c r="D87" s="6"/>
      <c r="E87" s="5" t="s">
        <v>19</v>
      </c>
      <c r="F87" s="5">
        <v>1</v>
      </c>
      <c r="G87" s="7">
        <v>0</v>
      </c>
      <c r="H87" s="7">
        <v>5400</v>
      </c>
      <c r="I87" s="7">
        <f>F87*G87</f>
        <v>0</v>
      </c>
      <c r="J87" s="7">
        <f>F87*H87</f>
        <v>0</v>
      </c>
      <c r="K87" s="7">
        <f>I87+J87</f>
        <v>0</v>
      </c>
    </row>
    <row r="88" spans="1:11" ht="30" customHeight="1">
      <c r="A88" s="5">
        <v>82</v>
      </c>
      <c r="B88" s="6" t="s">
        <v>169</v>
      </c>
      <c r="C88" s="6" t="s">
        <v>170</v>
      </c>
      <c r="D88" s="6"/>
      <c r="E88" s="5" t="s">
        <v>19</v>
      </c>
      <c r="F88" s="5">
        <v>1</v>
      </c>
      <c r="G88" s="7">
        <v>0</v>
      </c>
      <c r="H88" s="7">
        <v>1225</v>
      </c>
      <c r="I88" s="7">
        <f>F88*G88</f>
        <v>0</v>
      </c>
      <c r="J88" s="7">
        <f>F88*H88</f>
        <v>0</v>
      </c>
      <c r="K88" s="7">
        <f>I88+J88</f>
        <v>0</v>
      </c>
    </row>
    <row r="89" spans="1:11" ht="30" customHeight="1">
      <c r="A89" s="5">
        <v>83</v>
      </c>
      <c r="B89" s="6" t="s">
        <v>171</v>
      </c>
      <c r="C89" s="6" t="s">
        <v>172</v>
      </c>
      <c r="D89" s="6"/>
      <c r="E89" s="5" t="s">
        <v>19</v>
      </c>
      <c r="F89" s="5">
        <v>1</v>
      </c>
      <c r="G89" s="7">
        <v>0</v>
      </c>
      <c r="H89" s="7">
        <v>1225</v>
      </c>
      <c r="I89" s="7">
        <f>F89*G89</f>
        <v>0</v>
      </c>
      <c r="J89" s="7">
        <f>F89*H89</f>
        <v>0</v>
      </c>
      <c r="K89" s="7">
        <f>I89+J89</f>
        <v>0</v>
      </c>
    </row>
    <row r="90" spans="1:11" ht="30" customHeight="1">
      <c r="A90" s="5">
        <v>84</v>
      </c>
      <c r="B90" s="6" t="s">
        <v>173</v>
      </c>
      <c r="C90" s="6" t="s">
        <v>174</v>
      </c>
      <c r="D90" s="6"/>
      <c r="E90" s="5" t="s">
        <v>19</v>
      </c>
      <c r="F90" s="5">
        <v>1</v>
      </c>
      <c r="G90" s="7">
        <v>0</v>
      </c>
      <c r="H90" s="7">
        <v>1225</v>
      </c>
      <c r="I90" s="7">
        <f>F90*G90</f>
        <v>0</v>
      </c>
      <c r="J90" s="7">
        <f>F90*H90</f>
        <v>0</v>
      </c>
      <c r="K90" s="7">
        <f>I90+J90</f>
        <v>0</v>
      </c>
    </row>
    <row r="91" spans="1:11" ht="30" customHeight="1">
      <c r="A91" s="5">
        <v>85</v>
      </c>
      <c r="B91" s="6" t="s">
        <v>175</v>
      </c>
      <c r="C91" s="6" t="s">
        <v>176</v>
      </c>
      <c r="D91" s="6"/>
      <c r="E91" s="5" t="s">
        <v>19</v>
      </c>
      <c r="F91" s="5">
        <v>2</v>
      </c>
      <c r="G91" s="7">
        <v>0</v>
      </c>
      <c r="H91" s="7">
        <v>1225</v>
      </c>
      <c r="I91" s="7">
        <f>F91*G91</f>
        <v>0</v>
      </c>
      <c r="J91" s="7">
        <f>F91*H91</f>
        <v>0</v>
      </c>
      <c r="K91" s="7">
        <f>I91+J91</f>
        <v>0</v>
      </c>
    </row>
    <row r="92" spans="1:11" ht="30" customHeight="1">
      <c r="A92" s="5">
        <v>86</v>
      </c>
      <c r="B92" s="6" t="s">
        <v>177</v>
      </c>
      <c r="C92" s="6" t="s">
        <v>178</v>
      </c>
      <c r="D92" s="6"/>
      <c r="E92" s="5" t="s">
        <v>19</v>
      </c>
      <c r="F92" s="5">
        <v>1</v>
      </c>
      <c r="G92" s="7">
        <v>0</v>
      </c>
      <c r="H92" s="7">
        <v>1225</v>
      </c>
      <c r="I92" s="7">
        <f>F92*G92</f>
        <v>0</v>
      </c>
      <c r="J92" s="7">
        <f>F92*H92</f>
        <v>0</v>
      </c>
      <c r="K92" s="7">
        <f>I92+J92</f>
        <v>0</v>
      </c>
    </row>
    <row r="93" spans="1:11" ht="30" customHeight="1">
      <c r="A93" s="5">
        <v>87</v>
      </c>
      <c r="B93" s="6" t="s">
        <v>179</v>
      </c>
      <c r="C93" s="6" t="s">
        <v>180</v>
      </c>
      <c r="D93" s="6"/>
      <c r="E93" s="5" t="s">
        <v>19</v>
      </c>
      <c r="F93" s="5">
        <v>1</v>
      </c>
      <c r="G93" s="7">
        <v>0</v>
      </c>
      <c r="H93" s="7">
        <v>1225</v>
      </c>
      <c r="I93" s="7">
        <f>F93*G93</f>
        <v>0</v>
      </c>
      <c r="J93" s="7">
        <f>F93*H93</f>
        <v>0</v>
      </c>
      <c r="K93" s="7">
        <f>I93+J93</f>
        <v>0</v>
      </c>
    </row>
    <row r="94" spans="1:11" ht="30" customHeight="1">
      <c r="A94" s="5">
        <v>88</v>
      </c>
      <c r="B94" s="6" t="s">
        <v>181</v>
      </c>
      <c r="C94" s="6" t="s">
        <v>182</v>
      </c>
      <c r="D94" s="6"/>
      <c r="E94" s="5" t="s">
        <v>19</v>
      </c>
      <c r="F94" s="5">
        <v>1</v>
      </c>
      <c r="G94" s="7">
        <v>0</v>
      </c>
      <c r="H94" s="7">
        <v>1225</v>
      </c>
      <c r="I94" s="7">
        <f>F94*G94</f>
        <v>0</v>
      </c>
      <c r="J94" s="7">
        <f>F94*H94</f>
        <v>0</v>
      </c>
      <c r="K94" s="7">
        <f>I94+J94</f>
        <v>0</v>
      </c>
    </row>
    <row r="95" spans="1:11" ht="30" customHeight="1">
      <c r="A95" s="5">
        <v>89</v>
      </c>
      <c r="B95" s="6" t="s">
        <v>183</v>
      </c>
      <c r="C95" s="6" t="s">
        <v>184</v>
      </c>
      <c r="D95" s="6"/>
      <c r="E95" s="5" t="s">
        <v>19</v>
      </c>
      <c r="F95" s="5">
        <v>1</v>
      </c>
      <c r="G95" s="7">
        <v>0</v>
      </c>
      <c r="H95" s="7">
        <v>1225</v>
      </c>
      <c r="I95" s="7">
        <f>F95*G95</f>
        <v>0</v>
      </c>
      <c r="J95" s="7">
        <f>F95*H95</f>
        <v>0</v>
      </c>
      <c r="K95" s="7">
        <f>I95+J95</f>
        <v>0</v>
      </c>
    </row>
    <row r="96" spans="1:11" ht="30" customHeight="1">
      <c r="A96" s="5">
        <v>90</v>
      </c>
      <c r="B96" s="6" t="s">
        <v>185</v>
      </c>
      <c r="C96" s="6" t="s">
        <v>186</v>
      </c>
      <c r="D96" s="6"/>
      <c r="E96" s="5" t="s">
        <v>19</v>
      </c>
      <c r="F96" s="5">
        <v>1</v>
      </c>
      <c r="G96" s="7">
        <v>0</v>
      </c>
      <c r="H96" s="7">
        <v>1225</v>
      </c>
      <c r="I96" s="7">
        <f>F96*G96</f>
        <v>0</v>
      </c>
      <c r="J96" s="7">
        <f>F96*H96</f>
        <v>0</v>
      </c>
      <c r="K96" s="7">
        <f>I96+J96</f>
        <v>0</v>
      </c>
    </row>
    <row r="97" spans="1:11" ht="30" customHeight="1">
      <c r="A97" s="5">
        <v>91</v>
      </c>
      <c r="B97" s="6" t="s">
        <v>187</v>
      </c>
      <c r="C97" s="6" t="s">
        <v>188</v>
      </c>
      <c r="D97" s="6"/>
      <c r="E97" s="5" t="s">
        <v>24</v>
      </c>
      <c r="F97" s="5">
        <v>2</v>
      </c>
      <c r="G97" s="7">
        <v>0</v>
      </c>
      <c r="H97" s="7">
        <v>3850</v>
      </c>
      <c r="I97" s="7">
        <f>F97*G97</f>
        <v>0</v>
      </c>
      <c r="J97" s="7">
        <f>F97*H97</f>
        <v>0</v>
      </c>
      <c r="K97" s="7">
        <f>I97+J97</f>
        <v>0</v>
      </c>
    </row>
    <row r="98" spans="1:11" ht="30" customHeight="1">
      <c r="A98" s="5">
        <v>92</v>
      </c>
      <c r="B98" s="6" t="s">
        <v>189</v>
      </c>
      <c r="C98" s="6" t="s">
        <v>190</v>
      </c>
      <c r="D98" s="6"/>
      <c r="E98" s="5" t="s">
        <v>19</v>
      </c>
      <c r="F98" s="5">
        <v>3</v>
      </c>
      <c r="G98" s="7">
        <v>0</v>
      </c>
      <c r="H98" s="7">
        <v>1575</v>
      </c>
      <c r="I98" s="7">
        <f>F98*G98</f>
        <v>0</v>
      </c>
      <c r="J98" s="7">
        <f>F98*H98</f>
        <v>0</v>
      </c>
      <c r="K98" s="7">
        <f>I98+J98</f>
        <v>0</v>
      </c>
    </row>
    <row r="99" spans="1:11" ht="30" customHeight="1">
      <c r="A99" s="5">
        <v>93</v>
      </c>
      <c r="B99" s="6" t="s">
        <v>191</v>
      </c>
      <c r="C99" s="6" t="s">
        <v>192</v>
      </c>
      <c r="D99" s="6"/>
      <c r="E99" s="5" t="s">
        <v>19</v>
      </c>
      <c r="F99" s="5">
        <v>2</v>
      </c>
      <c r="G99" s="7">
        <v>0</v>
      </c>
      <c r="H99" s="7">
        <v>5400</v>
      </c>
      <c r="I99" s="7">
        <f>F99*G99</f>
        <v>0</v>
      </c>
      <c r="J99" s="7">
        <f>F99*H99</f>
        <v>0</v>
      </c>
      <c r="K99" s="7">
        <f>I99+J99</f>
        <v>0</v>
      </c>
    </row>
    <row r="100" spans="1:11" ht="30" customHeight="1">
      <c r="A100" s="5">
        <v>94</v>
      </c>
      <c r="B100" s="6" t="s">
        <v>193</v>
      </c>
      <c r="C100" s="6" t="s">
        <v>194</v>
      </c>
      <c r="D100" s="6"/>
      <c r="E100" s="5" t="s">
        <v>19</v>
      </c>
      <c r="F100" s="5">
        <v>16</v>
      </c>
      <c r="G100" s="7">
        <v>0</v>
      </c>
      <c r="H100" s="7">
        <v>875</v>
      </c>
      <c r="I100" s="7">
        <f>F100*G100</f>
        <v>0</v>
      </c>
      <c r="J100" s="7">
        <f>F100*H100</f>
        <v>0</v>
      </c>
      <c r="K100" s="7">
        <f>I100+J100</f>
        <v>0</v>
      </c>
    </row>
    <row r="101" spans="1:11" ht="30" customHeight="1">
      <c r="A101" s="5">
        <v>95</v>
      </c>
      <c r="B101" s="6" t="s">
        <v>191</v>
      </c>
      <c r="C101" s="6" t="s">
        <v>195</v>
      </c>
      <c r="D101" s="6"/>
      <c r="E101" s="5" t="s">
        <v>19</v>
      </c>
      <c r="F101" s="5">
        <v>2</v>
      </c>
      <c r="G101" s="7">
        <v>0</v>
      </c>
      <c r="H101" s="7">
        <v>5400</v>
      </c>
      <c r="I101" s="7">
        <f>F101*G101</f>
        <v>0</v>
      </c>
      <c r="J101" s="7">
        <f>F101*H101</f>
        <v>0</v>
      </c>
      <c r="K101" s="7">
        <f>I101+J101</f>
        <v>0</v>
      </c>
    </row>
    <row r="102" spans="1:11" ht="30" customHeight="1">
      <c r="A102" s="5">
        <v>96</v>
      </c>
      <c r="B102" s="6" t="s">
        <v>196</v>
      </c>
      <c r="C102" s="6" t="s">
        <v>197</v>
      </c>
      <c r="D102" s="6"/>
      <c r="E102" s="5" t="s">
        <v>19</v>
      </c>
      <c r="F102" s="5">
        <v>2</v>
      </c>
      <c r="G102" s="7">
        <v>0</v>
      </c>
      <c r="H102" s="7">
        <v>5400</v>
      </c>
      <c r="I102" s="7">
        <f>F102*G102</f>
        <v>0</v>
      </c>
      <c r="J102" s="7">
        <f>F102*H102</f>
        <v>0</v>
      </c>
      <c r="K102" s="7">
        <f>I102+J102</f>
        <v>0</v>
      </c>
    </row>
    <row r="103" spans="1:11" ht="30" customHeight="1">
      <c r="A103" s="5">
        <v>97</v>
      </c>
      <c r="B103" s="6" t="s">
        <v>198</v>
      </c>
      <c r="C103" s="6" t="s">
        <v>199</v>
      </c>
      <c r="D103" s="6"/>
      <c r="E103" s="5" t="s">
        <v>19</v>
      </c>
      <c r="F103" s="5">
        <v>18</v>
      </c>
      <c r="G103" s="7">
        <v>0</v>
      </c>
      <c r="H103" s="7">
        <v>875</v>
      </c>
      <c r="I103" s="7">
        <f>F103*G103</f>
        <v>0</v>
      </c>
      <c r="J103" s="7">
        <f>F103*H103</f>
        <v>0</v>
      </c>
      <c r="K103" s="7">
        <f>I103+J103</f>
        <v>0</v>
      </c>
    </row>
    <row r="104" spans="1:11" ht="30" customHeight="1">
      <c r="A104" s="5">
        <v>98</v>
      </c>
      <c r="B104" s="6" t="s">
        <v>196</v>
      </c>
      <c r="C104" s="6" t="s">
        <v>200</v>
      </c>
      <c r="D104" s="6"/>
      <c r="E104" s="5" t="s">
        <v>19</v>
      </c>
      <c r="F104" s="5">
        <v>1</v>
      </c>
      <c r="G104" s="7">
        <v>0</v>
      </c>
      <c r="H104" s="7">
        <v>5400</v>
      </c>
      <c r="I104" s="7">
        <f>F104*G104</f>
        <v>0</v>
      </c>
      <c r="J104" s="7">
        <f>F104*H104</f>
        <v>0</v>
      </c>
      <c r="K104" s="7">
        <f>I104+J104</f>
        <v>0</v>
      </c>
    </row>
    <row r="105" spans="1:11" ht="30" customHeight="1">
      <c r="A105" s="5">
        <v>99</v>
      </c>
      <c r="B105" s="6" t="s">
        <v>201</v>
      </c>
      <c r="C105" s="6" t="s">
        <v>202</v>
      </c>
      <c r="D105" s="6"/>
      <c r="E105" s="5" t="s">
        <v>19</v>
      </c>
      <c r="F105" s="5">
        <v>1</v>
      </c>
      <c r="G105" s="7">
        <v>0</v>
      </c>
      <c r="H105" s="7">
        <v>7000</v>
      </c>
      <c r="I105" s="7">
        <f>F105*G105</f>
        <v>0</v>
      </c>
      <c r="J105" s="7">
        <f>F105*H105</f>
        <v>0</v>
      </c>
      <c r="K105" s="7">
        <f>I105+J105</f>
        <v>0</v>
      </c>
    </row>
    <row r="106" spans="1:11" ht="30" customHeight="1">
      <c r="A106" s="5">
        <v>100</v>
      </c>
      <c r="B106" s="6" t="s">
        <v>203</v>
      </c>
      <c r="C106" s="6" t="s">
        <v>204</v>
      </c>
      <c r="D106" s="6"/>
      <c r="E106" s="5" t="s">
        <v>19</v>
      </c>
      <c r="F106" s="5">
        <v>2</v>
      </c>
      <c r="G106" s="7">
        <v>0</v>
      </c>
      <c r="H106" s="7">
        <v>12718</v>
      </c>
      <c r="I106" s="7">
        <f>F106*G106</f>
        <v>0</v>
      </c>
      <c r="J106" s="7">
        <f>F106*H106</f>
        <v>0</v>
      </c>
      <c r="K106" s="7">
        <f>I106+J106</f>
        <v>0</v>
      </c>
    </row>
    <row r="107" spans="1:11" ht="30" customHeight="1">
      <c r="A107" s="5">
        <v>101</v>
      </c>
      <c r="B107" s="6" t="s">
        <v>205</v>
      </c>
      <c r="C107" s="6" t="s">
        <v>206</v>
      </c>
      <c r="D107" s="6"/>
      <c r="E107" s="5" t="s">
        <v>19</v>
      </c>
      <c r="F107" s="5">
        <v>1</v>
      </c>
      <c r="G107" s="7">
        <v>0</v>
      </c>
      <c r="H107" s="7">
        <v>5400</v>
      </c>
      <c r="I107" s="7">
        <f>F107*G107</f>
        <v>0</v>
      </c>
      <c r="J107" s="7">
        <f>F107*H107</f>
        <v>0</v>
      </c>
      <c r="K107" s="7">
        <f>I107+J107</f>
        <v>0</v>
      </c>
    </row>
    <row r="108" spans="1:11" ht="30" customHeight="1">
      <c r="A108" s="5">
        <v>102</v>
      </c>
      <c r="B108" s="6" t="s">
        <v>207</v>
      </c>
      <c r="C108" s="6" t="s">
        <v>208</v>
      </c>
      <c r="D108" s="6"/>
      <c r="E108" s="5" t="s">
        <v>19</v>
      </c>
      <c r="F108" s="5">
        <v>1</v>
      </c>
      <c r="G108" s="7">
        <v>0</v>
      </c>
      <c r="H108" s="7">
        <v>5400</v>
      </c>
      <c r="I108" s="7">
        <f>F108*G108</f>
        <v>0</v>
      </c>
      <c r="J108" s="7">
        <f>F108*H108</f>
        <v>0</v>
      </c>
      <c r="K108" s="7">
        <f>I108+J108</f>
        <v>0</v>
      </c>
    </row>
    <row r="109" spans="1:11" ht="30" customHeight="1">
      <c r="A109" s="5">
        <v>103</v>
      </c>
      <c r="B109" s="6" t="s">
        <v>209</v>
      </c>
      <c r="C109" s="6" t="s">
        <v>210</v>
      </c>
      <c r="D109" s="6"/>
      <c r="E109" s="5" t="s">
        <v>19</v>
      </c>
      <c r="F109" s="5">
        <v>5</v>
      </c>
      <c r="G109" s="7">
        <v>0</v>
      </c>
      <c r="H109" s="7">
        <v>1225</v>
      </c>
      <c r="I109" s="7">
        <f>F109*G109</f>
        <v>0</v>
      </c>
      <c r="J109" s="7">
        <f>F109*H109</f>
        <v>0</v>
      </c>
      <c r="K109" s="7">
        <f>I109+J109</f>
        <v>0</v>
      </c>
    </row>
    <row r="110" spans="1:11" ht="30" customHeight="1">
      <c r="A110" s="5">
        <v>104</v>
      </c>
      <c r="B110" s="6" t="s">
        <v>211</v>
      </c>
      <c r="C110" s="6" t="s">
        <v>212</v>
      </c>
      <c r="D110" s="6"/>
      <c r="E110" s="5" t="s">
        <v>19</v>
      </c>
      <c r="F110" s="5">
        <v>2</v>
      </c>
      <c r="G110" s="7">
        <v>0</v>
      </c>
      <c r="H110" s="7">
        <v>8600</v>
      </c>
      <c r="I110" s="7">
        <f>F110*G110</f>
        <v>0</v>
      </c>
      <c r="J110" s="7">
        <f>F110*H110</f>
        <v>0</v>
      </c>
      <c r="K110" s="7">
        <f>I110+J110</f>
        <v>0</v>
      </c>
    </row>
    <row r="111" spans="1:11" ht="30" customHeight="1">
      <c r="A111" s="5">
        <v>105</v>
      </c>
      <c r="B111" s="6" t="s">
        <v>213</v>
      </c>
      <c r="C111" s="6" t="s">
        <v>214</v>
      </c>
      <c r="D111" s="6"/>
      <c r="E111" s="5" t="s">
        <v>19</v>
      </c>
      <c r="F111" s="5">
        <v>13</v>
      </c>
      <c r="G111" s="7">
        <v>0</v>
      </c>
      <c r="H111" s="7">
        <v>525</v>
      </c>
      <c r="I111" s="7">
        <f>F111*G111</f>
        <v>0</v>
      </c>
      <c r="J111" s="7">
        <f>F111*H111</f>
        <v>0</v>
      </c>
      <c r="K111" s="7">
        <f>I111+J111</f>
        <v>0</v>
      </c>
    </row>
    <row r="112" spans="1:11" ht="30" customHeight="1">
      <c r="A112" s="5">
        <v>106</v>
      </c>
      <c r="B112" s="6" t="s">
        <v>215</v>
      </c>
      <c r="C112" s="6"/>
      <c r="D112" s="6"/>
      <c r="E112" s="5" t="s">
        <v>216</v>
      </c>
      <c r="F112" s="5">
        <v>1</v>
      </c>
      <c r="G112" s="7">
        <v>0</v>
      </c>
      <c r="H112" s="7">
        <v>230000</v>
      </c>
      <c r="I112" s="7">
        <f>F112*G112</f>
        <v>0</v>
      </c>
      <c r="J112" s="7">
        <f>F112*H112</f>
        <v>0</v>
      </c>
      <c r="K112" s="7">
        <f>I112+J112</f>
        <v>0</v>
      </c>
    </row>
    <row r="113" spans="1:11" ht="30" customHeight="1">
      <c r="A113" s="5">
        <v>107</v>
      </c>
      <c r="B113" s="6" t="s">
        <v>217</v>
      </c>
      <c r="C113" s="6"/>
      <c r="D113" s="6"/>
      <c r="E113" s="5" t="s">
        <v>216</v>
      </c>
      <c r="F113" s="5">
        <v>1</v>
      </c>
      <c r="G113" s="7">
        <v>0</v>
      </c>
      <c r="H113" s="7">
        <v>230000</v>
      </c>
      <c r="I113" s="7">
        <f>F113*G113</f>
        <v>0</v>
      </c>
      <c r="J113" s="7">
        <f>F113*H113</f>
        <v>0</v>
      </c>
      <c r="K113" s="7">
        <f>I113+J113</f>
        <v>0</v>
      </c>
    </row>
    <row r="114" spans="1:11" ht="30" customHeight="1">
      <c r="A114" s="5">
        <v>108</v>
      </c>
      <c r="B114" s="6" t="s">
        <v>218</v>
      </c>
      <c r="C114" s="6"/>
      <c r="D114" s="6"/>
      <c r="E114" s="5" t="s">
        <v>216</v>
      </c>
      <c r="F114" s="5">
        <v>1</v>
      </c>
      <c r="G114" s="7">
        <v>0</v>
      </c>
      <c r="H114" s="7">
        <v>230000</v>
      </c>
      <c r="I114" s="7">
        <f>F114*G114</f>
        <v>0</v>
      </c>
      <c r="J114" s="7">
        <f>F114*H114</f>
        <v>0</v>
      </c>
      <c r="K114" s="7">
        <f>I114+J114</f>
        <v>0</v>
      </c>
    </row>
    <row r="115" spans="1:11" ht="30" customHeight="1">
      <c r="A115" s="5">
        <v>109</v>
      </c>
      <c r="B115" s="6" t="s">
        <v>219</v>
      </c>
      <c r="C115" s="6"/>
      <c r="D115" s="6"/>
      <c r="E115" s="5" t="s">
        <v>216</v>
      </c>
      <c r="F115" s="5">
        <v>1</v>
      </c>
      <c r="G115" s="7">
        <v>0</v>
      </c>
      <c r="H115" s="7">
        <v>375000</v>
      </c>
      <c r="I115" s="7">
        <f>F115*G115</f>
        <v>0</v>
      </c>
      <c r="J115" s="7">
        <f>F115*H115</f>
        <v>0</v>
      </c>
      <c r="K115" s="7">
        <f>I115+J115</f>
        <v>0</v>
      </c>
    </row>
    <row r="116" spans="1:11" ht="30" customHeight="1">
      <c r="A116" s="5">
        <v>110</v>
      </c>
      <c r="B116" s="6" t="s">
        <v>220</v>
      </c>
      <c r="C116" s="6"/>
      <c r="D116" s="6"/>
      <c r="E116" s="5" t="s">
        <v>216</v>
      </c>
      <c r="F116" s="5">
        <v>1</v>
      </c>
      <c r="G116" s="7">
        <v>0</v>
      </c>
      <c r="H116" s="7">
        <v>2000</v>
      </c>
      <c r="I116" s="7">
        <f>F116*G116</f>
        <v>0</v>
      </c>
      <c r="J116" s="7">
        <f>F116*H116</f>
        <v>0</v>
      </c>
      <c r="K116" s="7">
        <f>I116+J116</f>
        <v>0</v>
      </c>
    </row>
    <row r="117" spans="1:11" ht="30" customHeight="1">
      <c r="A117" s="5">
        <v>111</v>
      </c>
      <c r="B117" s="6" t="s">
        <v>221</v>
      </c>
      <c r="C117" s="6"/>
      <c r="D117" s="6"/>
      <c r="E117" s="5" t="s">
        <v>216</v>
      </c>
      <c r="F117" s="5">
        <v>1</v>
      </c>
      <c r="G117" s="7">
        <v>0</v>
      </c>
      <c r="H117" s="7">
        <v>210000</v>
      </c>
      <c r="I117" s="7">
        <f>F117*G117</f>
        <v>0</v>
      </c>
      <c r="J117" s="7">
        <f>F117*H117</f>
        <v>0</v>
      </c>
      <c r="K117" s="7">
        <f>I117+J117</f>
        <v>0</v>
      </c>
    </row>
    <row r="118" spans="1:11" ht="30" customHeight="1">
      <c r="A118" s="5">
        <v>112</v>
      </c>
      <c r="B118" s="6" t="s">
        <v>222</v>
      </c>
      <c r="C118" s="6"/>
      <c r="D118" s="6"/>
      <c r="E118" s="5" t="s">
        <v>216</v>
      </c>
      <c r="F118" s="5">
        <v>1</v>
      </c>
      <c r="G118" s="7">
        <v>0</v>
      </c>
      <c r="H118" s="7">
        <v>70000</v>
      </c>
      <c r="I118" s="7">
        <f>F118*G118</f>
        <v>0</v>
      </c>
      <c r="J118" s="7">
        <f>F118*H118</f>
        <v>0</v>
      </c>
      <c r="K118" s="7">
        <f>I118+J118</f>
        <v>0</v>
      </c>
    </row>
    <row r="119" spans="1:11" ht="30" customHeight="1">
      <c r="A119" s="5">
        <v>113</v>
      </c>
      <c r="B119" s="6" t="s">
        <v>223</v>
      </c>
      <c r="C119" s="6"/>
      <c r="D119" s="6"/>
      <c r="E119" s="5" t="s">
        <v>216</v>
      </c>
      <c r="F119" s="5">
        <v>1</v>
      </c>
      <c r="G119" s="8">
        <v>0</v>
      </c>
      <c r="H119" s="8">
        <v>450</v>
      </c>
      <c r="I119" s="8">
        <f>F119*G119</f>
        <v>0</v>
      </c>
      <c r="J119" s="8">
        <f>F119*H119</f>
        <v>0</v>
      </c>
      <c r="K119" s="8">
        <f>I119+J119</f>
        <v>0</v>
      </c>
    </row>
    <row r="120" spans="1:11" ht="30" customHeight="1">
      <c r="A120" s="5">
        <v>114</v>
      </c>
      <c r="B120" s="6" t="s">
        <v>224</v>
      </c>
      <c r="C120" s="6"/>
      <c r="D120" s="6"/>
      <c r="E120" s="5" t="s">
        <v>216</v>
      </c>
      <c r="F120" s="5">
        <v>1</v>
      </c>
      <c r="G120" s="8">
        <v>0</v>
      </c>
      <c r="H120" s="8">
        <v>1500</v>
      </c>
      <c r="I120" s="8">
        <f>F120*G120</f>
        <v>0</v>
      </c>
      <c r="J120" s="8">
        <f>F120*H120</f>
        <v>0</v>
      </c>
      <c r="K120" s="8">
        <f>I120+J120</f>
        <v>0</v>
      </c>
    </row>
    <row r="121" spans="1:11" ht="30" customHeight="1">
      <c r="A121" s="5">
        <v>115</v>
      </c>
      <c r="B121" s="6" t="s">
        <v>225</v>
      </c>
      <c r="C121" s="6" t="s">
        <v>226</v>
      </c>
      <c r="D121" s="6"/>
      <c r="E121" s="5" t="s">
        <v>216</v>
      </c>
      <c r="F121" s="5">
        <v>1</v>
      </c>
      <c r="G121" s="8">
        <v>0</v>
      </c>
      <c r="H121" s="8">
        <v>450</v>
      </c>
      <c r="I121" s="8">
        <f>F121*G121</f>
        <v>0</v>
      </c>
      <c r="J121" s="8">
        <f>F121*H121</f>
        <v>0</v>
      </c>
      <c r="K121" s="8">
        <f>I121+J121</f>
        <v>0</v>
      </c>
    </row>
    <row r="122" spans="1:11" ht="30" customHeight="1">
      <c r="A122" s="5">
        <v>116</v>
      </c>
      <c r="B122" s="6" t="s">
        <v>227</v>
      </c>
      <c r="C122" s="6" t="s">
        <v>228</v>
      </c>
      <c r="D122" s="6"/>
      <c r="E122" s="5" t="s">
        <v>216</v>
      </c>
      <c r="F122" s="5">
        <v>2</v>
      </c>
      <c r="G122" s="7">
        <v>0</v>
      </c>
      <c r="H122" s="7">
        <v>3500</v>
      </c>
      <c r="I122" s="7">
        <f>F122*G122</f>
        <v>0</v>
      </c>
      <c r="J122" s="7">
        <f>F122*H122</f>
        <v>0</v>
      </c>
      <c r="K122" s="7">
        <f>I122+J122</f>
        <v>0</v>
      </c>
    </row>
    <row r="123" spans="1:11" ht="30" customHeight="1">
      <c r="A123" s="5">
        <v>117</v>
      </c>
      <c r="B123" s="6" t="s">
        <v>229</v>
      </c>
      <c r="C123" s="6"/>
      <c r="D123" s="6"/>
      <c r="E123" s="5" t="s">
        <v>19</v>
      </c>
      <c r="F123" s="5">
        <v>4</v>
      </c>
      <c r="G123" s="7">
        <v>0</v>
      </c>
      <c r="H123" s="7">
        <v>3000</v>
      </c>
      <c r="I123" s="7">
        <f>F123*G123</f>
        <v>0</v>
      </c>
      <c r="J123" s="7">
        <f>F123*H123</f>
        <v>0</v>
      </c>
      <c r="K123" s="7">
        <f>I123+J123</f>
        <v>0</v>
      </c>
    </row>
    <row r="124" spans="1:11" ht="16" customHeight="1">
      <c r="A124" s="9" t="s">
        <v>230</v>
      </c>
      <c r="B124" s="9"/>
      <c r="C124" s="9"/>
      <c r="D124" s="9"/>
      <c r="E124" s="9"/>
      <c r="F124" s="9"/>
      <c r="G124" s="9"/>
      <c r="H124" s="9"/>
      <c r="I124" s="10">
        <f>SUM(I7:I123)</f>
        <v>0</v>
      </c>
      <c r="J124" s="10">
        <f>SUM(J7:J123)</f>
        <v>0</v>
      </c>
      <c r="K124" s="10">
        <f>SUM(K7:K123)</f>
        <v>0</v>
      </c>
    </row>
    <row r="125" spans="1:11" ht="18" customHeight="1">
      <c r="A125" s="11" t="s">
        <v>231</v>
      </c>
      <c r="B125" s="11"/>
      <c r="C125" s="11"/>
      <c r="D125" s="11"/>
      <c r="E125" s="11"/>
      <c r="F125" s="11"/>
      <c r="G125" s="11"/>
      <c r="H125" s="11"/>
      <c r="I125" s="12">
        <f>I124</f>
        <v>0</v>
      </c>
      <c r="J125" s="12">
        <f>J124</f>
        <v>0</v>
      </c>
      <c r="K125" s="12">
        <f>K124</f>
        <v>0</v>
      </c>
    </row>
    <row r="126" spans="1:11" ht="18" customHeight="1">
      <c r="A126" s="13" t="s">
        <v>232</v>
      </c>
      <c r="B126" s="13"/>
      <c r="C126" s="13"/>
      <c r="D126" s="13"/>
      <c r="E126" s="13"/>
      <c r="F126" s="13"/>
      <c r="G126" s="13"/>
      <c r="H126" s="13"/>
      <c r="I126" s="14">
        <f>I125*0.2</f>
        <v>0</v>
      </c>
      <c r="J126" s="14">
        <f>J125*0.2</f>
        <v>0</v>
      </c>
      <c r="K126" s="14">
        <f>K125*0.2</f>
        <v>0</v>
      </c>
    </row>
  </sheetData>
  <mergeCells count="9">
    <mergeCell ref="A1:K2"/>
    <mergeCell ref="A3:C3"/>
    <mergeCell ref="D3:K3"/>
    <mergeCell ref="G4:H4"/>
    <mergeCell ref="I4:J4"/>
    <mergeCell ref="A6:K6"/>
    <mergeCell ref="A124:H124"/>
    <mergeCell ref="A125:H125"/>
    <mergeCell ref="A126:H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2026-03-20T20:16:39Z</dcterms:created>
  <dcterms:modified xsi:type="dcterms:W3CDTF">2026-03-20T20:16:39Z</dcterms:modified>
</cp:coreProperties>
</file>